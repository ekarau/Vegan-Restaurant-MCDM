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1405C27C-4BEB-4A3D-A95B-4ECEEACB2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Sheet1!$A$107:$L$137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34" i="1"/>
  <c r="J35" i="1"/>
  <c r="J36" i="1"/>
  <c r="J37" i="1"/>
  <c r="J38" i="1"/>
  <c r="J39" i="1"/>
  <c r="J40" i="1"/>
  <c r="J41" i="1"/>
  <c r="J32" i="1"/>
  <c r="G33" i="1"/>
  <c r="G34" i="1"/>
  <c r="G35" i="1"/>
  <c r="G36" i="1"/>
  <c r="G37" i="1"/>
  <c r="G38" i="1"/>
  <c r="G39" i="1"/>
  <c r="G40" i="1"/>
  <c r="G41" i="1"/>
  <c r="G32" i="1"/>
  <c r="D33" i="1"/>
  <c r="D34" i="1"/>
  <c r="D35" i="1"/>
  <c r="D36" i="1"/>
  <c r="D37" i="1"/>
  <c r="D38" i="1"/>
  <c r="D39" i="1"/>
  <c r="D40" i="1"/>
  <c r="D41" i="1"/>
  <c r="D32" i="1"/>
  <c r="I33" i="1"/>
  <c r="I34" i="1"/>
  <c r="I35" i="1"/>
  <c r="I36" i="1"/>
  <c r="I37" i="1"/>
  <c r="I38" i="1"/>
  <c r="I39" i="1"/>
  <c r="I40" i="1"/>
  <c r="I41" i="1"/>
  <c r="I32" i="1"/>
  <c r="F33" i="1"/>
  <c r="F34" i="1"/>
  <c r="F35" i="1"/>
  <c r="F36" i="1"/>
  <c r="F37" i="1"/>
  <c r="F38" i="1"/>
  <c r="F39" i="1"/>
  <c r="F40" i="1"/>
  <c r="F41" i="1"/>
  <c r="F32" i="1"/>
  <c r="C33" i="1"/>
  <c r="C34" i="1"/>
  <c r="C35" i="1"/>
  <c r="C36" i="1"/>
  <c r="C37" i="1"/>
  <c r="C38" i="1"/>
  <c r="C39" i="1"/>
  <c r="C40" i="1"/>
  <c r="C41" i="1"/>
  <c r="C32" i="1"/>
  <c r="H33" i="1"/>
  <c r="H34" i="1"/>
  <c r="H35" i="1"/>
  <c r="H36" i="1"/>
  <c r="H37" i="1"/>
  <c r="H38" i="1"/>
  <c r="H39" i="1"/>
  <c r="H40" i="1"/>
  <c r="H41" i="1"/>
  <c r="H32" i="1"/>
  <c r="E33" i="1"/>
  <c r="E34" i="1"/>
  <c r="E35" i="1"/>
  <c r="E36" i="1"/>
  <c r="E37" i="1"/>
  <c r="E38" i="1"/>
  <c r="E39" i="1"/>
  <c r="E40" i="1"/>
  <c r="E41" i="1"/>
  <c r="E32" i="1"/>
  <c r="B33" i="1"/>
  <c r="B34" i="1"/>
  <c r="B35" i="1"/>
  <c r="B36" i="1"/>
  <c r="B37" i="1"/>
  <c r="B38" i="1"/>
  <c r="B39" i="1"/>
  <c r="B40" i="1"/>
  <c r="B41" i="1"/>
  <c r="B32" i="1"/>
  <c r="N35" i="1" l="1"/>
  <c r="N32" i="1"/>
  <c r="N34" i="1"/>
  <c r="N41" i="1"/>
  <c r="N39" i="1"/>
  <c r="N33" i="1"/>
  <c r="N40" i="1"/>
  <c r="N38" i="1"/>
  <c r="N37" i="1"/>
  <c r="N36" i="1"/>
  <c r="N42" i="1" l="1"/>
  <c r="O32" i="1" l="1"/>
  <c r="O34" i="1"/>
  <c r="O35" i="1"/>
  <c r="O37" i="1"/>
  <c r="O36" i="1"/>
  <c r="O41" i="1"/>
  <c r="O39" i="1"/>
  <c r="O33" i="1"/>
  <c r="O40" i="1"/>
  <c r="O38" i="1"/>
  <c r="L248" i="1" l="1"/>
  <c r="F247" i="1"/>
  <c r="L244" i="1"/>
  <c r="C243" i="1"/>
  <c r="K247" i="1"/>
  <c r="B249" i="1"/>
  <c r="H243" i="1"/>
  <c r="B242" i="1"/>
  <c r="I248" i="1"/>
  <c r="N248" i="1"/>
  <c r="E243" i="1"/>
  <c r="E249" i="1"/>
  <c r="K249" i="1"/>
  <c r="B244" i="1"/>
  <c r="L249" i="1"/>
  <c r="C248" i="1"/>
  <c r="L242" i="1"/>
  <c r="C244" i="1"/>
  <c r="H248" i="1"/>
  <c r="B247" i="1"/>
  <c r="H244" i="1"/>
  <c r="I244" i="1"/>
  <c r="H247" i="1"/>
  <c r="F243" i="1"/>
  <c r="K243" i="1"/>
  <c r="K242" i="1"/>
  <c r="L247" i="1"/>
  <c r="C249" i="1"/>
  <c r="I243" i="1"/>
  <c r="C242" i="1"/>
  <c r="H249" i="1"/>
  <c r="N243" i="1"/>
  <c r="H242" i="1"/>
  <c r="C247" i="1"/>
  <c r="N244" i="1"/>
  <c r="O244" i="1"/>
  <c r="E242" i="1"/>
  <c r="I249" i="1"/>
  <c r="O243" i="1"/>
  <c r="I242" i="1"/>
  <c r="N249" i="1"/>
  <c r="E248" i="1"/>
  <c r="N242" i="1"/>
  <c r="E244" i="1"/>
  <c r="O248" i="1"/>
  <c r="I247" i="1"/>
  <c r="N247" i="1"/>
  <c r="O249" i="1"/>
  <c r="F248" i="1"/>
  <c r="O242" i="1"/>
  <c r="F244" i="1"/>
  <c r="K248" i="1"/>
  <c r="E247" i="1"/>
  <c r="K244" i="1"/>
  <c r="B243" i="1"/>
  <c r="O247" i="1"/>
  <c r="F249" i="1"/>
  <c r="L243" i="1"/>
  <c r="F242" i="1"/>
  <c r="B248" i="1"/>
  <c r="C91" i="1"/>
  <c r="C83" i="1"/>
  <c r="B85" i="1"/>
  <c r="C90" i="1"/>
  <c r="C82" i="1"/>
  <c r="B84" i="1"/>
  <c r="C89" i="1"/>
  <c r="B91" i="1"/>
  <c r="B83" i="1"/>
  <c r="C87" i="1"/>
  <c r="B89" i="1"/>
  <c r="B88" i="1"/>
  <c r="B87" i="1"/>
  <c r="C88" i="1"/>
  <c r="B90" i="1"/>
  <c r="C86" i="1"/>
  <c r="C85" i="1"/>
  <c r="C84" i="1"/>
  <c r="B86" i="1"/>
  <c r="B82" i="1"/>
  <c r="O42" i="1"/>
  <c r="D243" i="1" l="1"/>
  <c r="C255" i="1" s="1"/>
  <c r="J247" i="1"/>
  <c r="B262" i="1"/>
  <c r="J243" i="1"/>
  <c r="C257" i="1"/>
  <c r="M244" i="1"/>
  <c r="D258" i="1"/>
  <c r="D244" i="1"/>
  <c r="D255" i="1" s="1"/>
  <c r="J249" i="1"/>
  <c r="D262" i="1" s="1"/>
  <c r="G247" i="1"/>
  <c r="B261" i="1"/>
  <c r="J244" i="1"/>
  <c r="D257" i="1" s="1"/>
  <c r="D248" i="1"/>
  <c r="C260" i="1" s="1"/>
  <c r="M248" i="1"/>
  <c r="C263" i="1"/>
  <c r="P247" i="1"/>
  <c r="B264" i="1"/>
  <c r="B259" i="1"/>
  <c r="J248" i="1"/>
  <c r="C262" i="1" s="1"/>
  <c r="M242" i="1"/>
  <c r="B258" i="1"/>
  <c r="P243" i="1"/>
  <c r="C259" i="1" s="1"/>
  <c r="D242" i="1"/>
  <c r="B255" i="1" s="1"/>
  <c r="D249" i="1"/>
  <c r="D260" i="1" s="1"/>
  <c r="G242" i="1"/>
  <c r="B256" i="1" s="1"/>
  <c r="M249" i="1"/>
  <c r="D263" i="1" s="1"/>
  <c r="M247" i="1"/>
  <c r="B263" i="1" s="1"/>
  <c r="G244" i="1"/>
  <c r="D256" i="1" s="1"/>
  <c r="D247" i="1"/>
  <c r="B260" i="1" s="1"/>
  <c r="G249" i="1"/>
  <c r="D261" i="1" s="1"/>
  <c r="P242" i="1"/>
  <c r="P244" i="1"/>
  <c r="D259" i="1" s="1"/>
  <c r="G243" i="1"/>
  <c r="C256" i="1" s="1"/>
  <c r="G248" i="1"/>
  <c r="C261" i="1" s="1"/>
  <c r="P248" i="1"/>
  <c r="C264" i="1" s="1"/>
  <c r="P249" i="1"/>
  <c r="D264" i="1" s="1"/>
  <c r="J242" i="1"/>
  <c r="B257" i="1" s="1"/>
  <c r="M243" i="1"/>
  <c r="C258" i="1" s="1"/>
  <c r="D83" i="1"/>
  <c r="C96" i="1" s="1"/>
  <c r="D91" i="1"/>
  <c r="B104" i="1" s="1"/>
  <c r="D90" i="1"/>
  <c r="B103" i="1" s="1"/>
  <c r="D84" i="1"/>
  <c r="B97" i="1" s="1"/>
  <c r="D87" i="1"/>
  <c r="B100" i="1" s="1"/>
  <c r="D82" i="1"/>
  <c r="B95" i="1" s="1"/>
  <c r="D88" i="1"/>
  <c r="B101" i="1" s="1"/>
  <c r="D86" i="1"/>
  <c r="C99" i="1" s="1"/>
  <c r="D89" i="1"/>
  <c r="C102" i="1" s="1"/>
  <c r="D85" i="1"/>
  <c r="B98" i="1" s="1"/>
  <c r="C292" i="1" l="1"/>
  <c r="C278" i="1"/>
  <c r="C306" i="1" s="1"/>
  <c r="C275" i="1"/>
  <c r="C289" i="1"/>
  <c r="D277" i="1"/>
  <c r="D305" i="1" s="1"/>
  <c r="D291" i="1"/>
  <c r="C290" i="1"/>
  <c r="C276" i="1"/>
  <c r="C284" i="1"/>
  <c r="C270" i="1"/>
  <c r="C298" i="1" s="1"/>
  <c r="D285" i="1"/>
  <c r="D271" i="1"/>
  <c r="D269" i="1"/>
  <c r="D283" i="1"/>
  <c r="D276" i="1"/>
  <c r="D290" i="1"/>
  <c r="B291" i="1"/>
  <c r="B277" i="1"/>
  <c r="B305" i="1" s="1"/>
  <c r="B269" i="1"/>
  <c r="B283" i="1"/>
  <c r="C272" i="1"/>
  <c r="C286" i="1"/>
  <c r="D275" i="1"/>
  <c r="D289" i="1"/>
  <c r="B274" i="1"/>
  <c r="B288" i="1"/>
  <c r="D292" i="1"/>
  <c r="D278" i="1"/>
  <c r="D284" i="1"/>
  <c r="D270" i="1"/>
  <c r="C269" i="1"/>
  <c r="C283" i="1"/>
  <c r="B285" i="1"/>
  <c r="B271" i="1"/>
  <c r="C291" i="1"/>
  <c r="C277" i="1"/>
  <c r="C305" i="1" s="1"/>
  <c r="B272" i="1"/>
  <c r="B286" i="1"/>
  <c r="C274" i="1"/>
  <c r="C288" i="1"/>
  <c r="C285" i="1"/>
  <c r="C271" i="1"/>
  <c r="C299" i="1" s="1"/>
  <c r="D272" i="1"/>
  <c r="D286" i="1"/>
  <c r="B275" i="1"/>
  <c r="B289" i="1"/>
  <c r="D102" i="1"/>
  <c r="B290" i="1"/>
  <c r="B276" i="1"/>
  <c r="C273" i="1"/>
  <c r="C287" i="1"/>
  <c r="D274" i="1"/>
  <c r="D288" i="1"/>
  <c r="D273" i="1"/>
  <c r="D287" i="1"/>
  <c r="B270" i="1"/>
  <c r="B284" i="1"/>
  <c r="B273" i="1"/>
  <c r="B287" i="1"/>
  <c r="B292" i="1"/>
  <c r="B278" i="1"/>
  <c r="B96" i="1"/>
  <c r="D96" i="1" s="1"/>
  <c r="C95" i="1"/>
  <c r="D95" i="1" s="1"/>
  <c r="C101" i="1"/>
  <c r="D101" i="1" s="1"/>
  <c r="B99" i="1"/>
  <c r="D99" i="1" s="1"/>
  <c r="C103" i="1"/>
  <c r="D103" i="1" s="1"/>
  <c r="C98" i="1"/>
  <c r="D98" i="1" s="1"/>
  <c r="C104" i="1"/>
  <c r="D104" i="1" s="1"/>
  <c r="C97" i="1"/>
  <c r="D97" i="1" s="1"/>
  <c r="C100" i="1"/>
  <c r="D100" i="1" s="1"/>
  <c r="B102" i="1"/>
  <c r="D299" i="1" l="1"/>
  <c r="B299" i="1"/>
  <c r="B314" i="1" s="1"/>
  <c r="D297" i="1"/>
  <c r="B297" i="1"/>
  <c r="B301" i="1"/>
  <c r="B316" i="1" s="1"/>
  <c r="C304" i="1"/>
  <c r="C319" i="1" s="1"/>
  <c r="C303" i="1"/>
  <c r="B300" i="1"/>
  <c r="C300" i="1"/>
  <c r="D105" i="1"/>
  <c r="E95" i="1"/>
  <c r="D312" i="1" s="1"/>
  <c r="E99" i="1"/>
  <c r="E102" i="1"/>
  <c r="E96" i="1"/>
  <c r="E101" i="1"/>
  <c r="B303" i="1"/>
  <c r="B318" i="1" s="1"/>
  <c r="C314" i="1"/>
  <c r="C313" i="1"/>
  <c r="D314" i="1"/>
  <c r="E100" i="1"/>
  <c r="D320" i="1"/>
  <c r="C320" i="1"/>
  <c r="E97" i="1"/>
  <c r="E104" i="1"/>
  <c r="D302" i="1"/>
  <c r="E98" i="1"/>
  <c r="B315" i="1" s="1"/>
  <c r="E103" i="1"/>
  <c r="C301" i="1"/>
  <c r="C316" i="1" s="1"/>
  <c r="B320" i="1"/>
  <c r="C321" i="1"/>
  <c r="D301" i="1"/>
  <c r="D316" i="1" s="1"/>
  <c r="D303" i="1"/>
  <c r="D318" i="1" s="1"/>
  <c r="D304" i="1"/>
  <c r="D319" i="1" s="1"/>
  <c r="B306" i="1"/>
  <c r="D298" i="1"/>
  <c r="C297" i="1"/>
  <c r="D306" i="1"/>
  <c r="C302" i="1"/>
  <c r="D300" i="1"/>
  <c r="B298" i="1"/>
  <c r="B313" i="1" s="1"/>
  <c r="B304" i="1"/>
  <c r="B319" i="1" s="1"/>
  <c r="B302" i="1"/>
  <c r="C318" i="1" l="1"/>
  <c r="B317" i="1"/>
  <c r="B312" i="1"/>
  <c r="D315" i="1"/>
  <c r="C312" i="1"/>
  <c r="D317" i="1"/>
  <c r="C317" i="1"/>
  <c r="D321" i="1"/>
  <c r="C315" i="1"/>
  <c r="D313" i="1"/>
  <c r="B321" i="1"/>
  <c r="D322" i="1" l="1"/>
  <c r="C322" i="1"/>
  <c r="B322" i="1"/>
</calcChain>
</file>

<file path=xl/sharedStrings.xml><?xml version="1.0" encoding="utf-8"?>
<sst xmlns="http://schemas.openxmlformats.org/spreadsheetml/2006/main" count="946" uniqueCount="125">
  <si>
    <t>Experts</t>
  </si>
  <si>
    <t>Experience</t>
  </si>
  <si>
    <t>Expertise</t>
  </si>
  <si>
    <r>
      <t>DM</t>
    </r>
    <r>
      <rPr>
        <b/>
        <vertAlign val="subscript"/>
        <sz val="8"/>
        <color theme="1"/>
        <rFont val="Times New Roman"/>
        <family val="1"/>
      </rPr>
      <t>1</t>
    </r>
  </si>
  <si>
    <r>
      <t>DM</t>
    </r>
    <r>
      <rPr>
        <b/>
        <vertAlign val="subscript"/>
        <sz val="8"/>
        <color theme="1"/>
        <rFont val="Times New Roman"/>
        <family val="1"/>
      </rPr>
      <t>2</t>
    </r>
  </si>
  <si>
    <r>
      <t>DM</t>
    </r>
    <r>
      <rPr>
        <b/>
        <vertAlign val="subscript"/>
        <sz val="8"/>
        <color theme="1"/>
        <rFont val="Times New Roman"/>
        <family val="1"/>
      </rPr>
      <t>3</t>
    </r>
  </si>
  <si>
    <r>
      <t>DM</t>
    </r>
    <r>
      <rPr>
        <b/>
        <vertAlign val="subscript"/>
        <sz val="8"/>
        <color theme="1"/>
        <rFont val="Times New Roman"/>
        <family val="1"/>
      </rPr>
      <t>4</t>
    </r>
  </si>
  <si>
    <r>
      <t>DM</t>
    </r>
    <r>
      <rPr>
        <b/>
        <vertAlign val="subscript"/>
        <sz val="8"/>
        <color theme="1"/>
        <rFont val="Times New Roman"/>
        <family val="1"/>
      </rPr>
      <t>5</t>
    </r>
  </si>
  <si>
    <r>
      <t>DM</t>
    </r>
    <r>
      <rPr>
        <b/>
        <vertAlign val="subscript"/>
        <sz val="8"/>
        <color theme="1"/>
        <rFont val="Times New Roman"/>
        <family val="1"/>
      </rPr>
      <t>6</t>
    </r>
  </si>
  <si>
    <r>
      <t>DM</t>
    </r>
    <r>
      <rPr>
        <b/>
        <vertAlign val="subscript"/>
        <sz val="8"/>
        <color theme="1"/>
        <rFont val="Times New Roman"/>
        <family val="1"/>
      </rPr>
      <t>7</t>
    </r>
  </si>
  <si>
    <t>T</t>
  </si>
  <si>
    <t>I</t>
  </si>
  <si>
    <t>F</t>
  </si>
  <si>
    <t>DM8</t>
  </si>
  <si>
    <t>DM9</t>
  </si>
  <si>
    <t>DM10</t>
  </si>
  <si>
    <t>Between 6 and 10</t>
  </si>
  <si>
    <t>Less than 5</t>
  </si>
  <si>
    <t>Between 11 and 15</t>
  </si>
  <si>
    <t>More Than 15</t>
  </si>
  <si>
    <t>Very Poor (VP)</t>
  </si>
  <si>
    <t>Medium Poor (MP)</t>
  </si>
  <si>
    <t>Medium (M)</t>
  </si>
  <si>
    <t>Poor (P)</t>
  </si>
  <si>
    <t>Medium Good (MG)</t>
  </si>
  <si>
    <t>Good (G)</t>
  </si>
  <si>
    <t>Very Good (VG)</t>
  </si>
  <si>
    <t>Aggregated Expert Reputation</t>
  </si>
  <si>
    <t>E1</t>
  </si>
  <si>
    <t>E2</t>
  </si>
  <si>
    <t>Criteria</t>
  </si>
  <si>
    <r>
      <t>DM</t>
    </r>
    <r>
      <rPr>
        <b/>
        <vertAlign val="subscript"/>
        <sz val="10"/>
        <color theme="1"/>
        <rFont val="Times New Roman"/>
        <family val="1"/>
      </rPr>
      <t>1</t>
    </r>
  </si>
  <si>
    <r>
      <t>DM</t>
    </r>
    <r>
      <rPr>
        <b/>
        <vertAlign val="subscript"/>
        <sz val="10"/>
        <color theme="1"/>
        <rFont val="Times New Roman"/>
        <family val="1"/>
      </rPr>
      <t>2</t>
    </r>
  </si>
  <si>
    <r>
      <t>DM</t>
    </r>
    <r>
      <rPr>
        <b/>
        <vertAlign val="subscript"/>
        <sz val="10"/>
        <color theme="1"/>
        <rFont val="Times New Roman"/>
        <family val="1"/>
      </rPr>
      <t>3</t>
    </r>
  </si>
  <si>
    <r>
      <t>DM</t>
    </r>
    <r>
      <rPr>
        <b/>
        <vertAlign val="subscript"/>
        <sz val="10"/>
        <color theme="1"/>
        <rFont val="Times New Roman"/>
        <family val="1"/>
      </rPr>
      <t>4</t>
    </r>
  </si>
  <si>
    <r>
      <t>DM</t>
    </r>
    <r>
      <rPr>
        <b/>
        <vertAlign val="subscript"/>
        <sz val="10"/>
        <color theme="1"/>
        <rFont val="Times New Roman"/>
        <family val="1"/>
      </rPr>
      <t>5</t>
    </r>
  </si>
  <si>
    <r>
      <t>DM</t>
    </r>
    <r>
      <rPr>
        <b/>
        <vertAlign val="subscript"/>
        <sz val="10"/>
        <color theme="1"/>
        <rFont val="Times New Roman"/>
        <family val="1"/>
      </rPr>
      <t>6</t>
    </r>
  </si>
  <si>
    <r>
      <t>DM</t>
    </r>
    <r>
      <rPr>
        <b/>
        <vertAlign val="subscript"/>
        <sz val="10"/>
        <color theme="1"/>
        <rFont val="Times New Roman"/>
        <family val="1"/>
      </rPr>
      <t>7</t>
    </r>
  </si>
  <si>
    <r>
      <t>DM</t>
    </r>
    <r>
      <rPr>
        <b/>
        <vertAlign val="subscript"/>
        <sz val="10"/>
        <color theme="1"/>
        <rFont val="Times New Roman"/>
        <family val="1"/>
      </rPr>
      <t>8</t>
    </r>
  </si>
  <si>
    <r>
      <t>DM</t>
    </r>
    <r>
      <rPr>
        <b/>
        <vertAlign val="subscript"/>
        <sz val="10"/>
        <color theme="1"/>
        <rFont val="Times New Roman"/>
        <family val="1"/>
      </rPr>
      <t>9</t>
    </r>
    <r>
      <rPr>
        <sz val="11"/>
        <color theme="1"/>
        <rFont val="Calibri"/>
        <family val="2"/>
        <scheme val="minor"/>
      </rPr>
      <t/>
    </r>
  </si>
  <si>
    <r>
      <t>DM</t>
    </r>
    <r>
      <rPr>
        <b/>
        <vertAlign val="subscript"/>
        <sz val="10"/>
        <color theme="1"/>
        <rFont val="Times New Roman"/>
        <family val="1"/>
      </rPr>
      <t>10</t>
    </r>
    <r>
      <rPr>
        <sz val="11"/>
        <color theme="1"/>
        <rFont val="Calibri"/>
        <family val="2"/>
        <scheme val="minor"/>
      </rPr>
      <t/>
    </r>
  </si>
  <si>
    <r>
      <t>C</t>
    </r>
    <r>
      <rPr>
        <b/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: Hygine</t>
    </r>
  </si>
  <si>
    <r>
      <t>C</t>
    </r>
    <r>
      <rPr>
        <b/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: Menu Variability</t>
    </r>
  </si>
  <si>
    <r>
      <t>C</t>
    </r>
    <r>
      <rPr>
        <b/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: Location</t>
    </r>
  </si>
  <si>
    <r>
      <t>C</t>
    </r>
    <r>
      <rPr>
        <b/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>: Interior Design</t>
    </r>
  </si>
  <si>
    <r>
      <t>C</t>
    </r>
    <r>
      <rPr>
        <b/>
        <vertAlign val="subscript"/>
        <sz val="10"/>
        <color theme="1"/>
        <rFont val="Times New Roman"/>
        <family val="1"/>
      </rPr>
      <t>5</t>
    </r>
    <r>
      <rPr>
        <sz val="10"/>
        <color theme="1"/>
        <rFont val="Times New Roman"/>
        <family val="1"/>
      </rPr>
      <t>: Staff Friendliness</t>
    </r>
  </si>
  <si>
    <r>
      <t>C</t>
    </r>
    <r>
      <rPr>
        <b/>
        <vertAlign val="subscript"/>
        <sz val="10"/>
        <color theme="1"/>
        <rFont val="Times New Roman"/>
        <family val="1"/>
      </rPr>
      <t>6</t>
    </r>
    <r>
      <rPr>
        <sz val="10"/>
        <color theme="1"/>
        <rFont val="Times New Roman"/>
        <family val="1"/>
      </rPr>
      <t>: Price Affordability</t>
    </r>
  </si>
  <si>
    <r>
      <t>C</t>
    </r>
    <r>
      <rPr>
        <b/>
        <vertAlign val="subscript"/>
        <sz val="10"/>
        <color theme="1"/>
        <rFont val="Times New Roman"/>
        <family val="1"/>
      </rPr>
      <t>7</t>
    </r>
    <r>
      <rPr>
        <sz val="10"/>
        <color theme="1"/>
        <rFont val="Times New Roman"/>
        <family val="1"/>
      </rPr>
      <t>: Sustainability</t>
    </r>
  </si>
  <si>
    <r>
      <t>C</t>
    </r>
    <r>
      <rPr>
        <b/>
        <vertAlign val="subscript"/>
        <sz val="10"/>
        <color theme="1"/>
        <rFont val="Times New Roman"/>
        <family val="1"/>
      </rPr>
      <t>8</t>
    </r>
    <r>
      <rPr>
        <sz val="10"/>
        <color theme="1"/>
        <rFont val="Times New Roman"/>
        <family val="1"/>
      </rPr>
      <t>: Customer Review</t>
    </r>
  </si>
  <si>
    <r>
      <t>C</t>
    </r>
    <r>
      <rPr>
        <b/>
        <vertAlign val="subscript"/>
        <sz val="10"/>
        <color theme="1"/>
        <rFont val="Times New Roman"/>
        <family val="1"/>
      </rPr>
      <t>9</t>
    </r>
    <r>
      <rPr>
        <sz val="10"/>
        <color theme="1"/>
        <rFont val="Times New Roman"/>
        <family val="1"/>
      </rPr>
      <t>: Service Speed</t>
    </r>
  </si>
  <si>
    <t>VI</t>
  </si>
  <si>
    <t>M</t>
  </si>
  <si>
    <t>UI</t>
  </si>
  <si>
    <r>
      <t>C</t>
    </r>
    <r>
      <rPr>
        <b/>
        <vertAlign val="subscript"/>
        <sz val="10"/>
        <color theme="1"/>
        <rFont val="Times New Roman"/>
        <family val="1"/>
      </rPr>
      <t>10</t>
    </r>
    <r>
      <rPr>
        <sz val="10"/>
        <color theme="1"/>
        <rFont val="Times New Roman"/>
        <family val="1"/>
      </rPr>
      <t>: Full Vegan Menu</t>
    </r>
  </si>
  <si>
    <t>C1: Hygine</t>
  </si>
  <si>
    <t>C2: Menu Variability</t>
  </si>
  <si>
    <t>C3: Location</t>
  </si>
  <si>
    <t>C4: Interior Design</t>
  </si>
  <si>
    <t>C5: Staff Friendliness</t>
  </si>
  <si>
    <t>C6: Price Affordability</t>
  </si>
  <si>
    <t>C7: Sustainability</t>
  </si>
  <si>
    <t>C8: Customer Review</t>
  </si>
  <si>
    <t>C9: Service Speed</t>
  </si>
  <si>
    <t>C10: Full Vegan Menu</t>
  </si>
  <si>
    <r>
      <t>DM</t>
    </r>
    <r>
      <rPr>
        <b/>
        <vertAlign val="subscript"/>
        <sz val="8"/>
        <color theme="1"/>
        <rFont val="Times New Roman"/>
        <family val="1"/>
      </rPr>
      <t>7</t>
    </r>
    <r>
      <rPr>
        <sz val="11"/>
        <color theme="1"/>
        <rFont val="Calibri"/>
        <family val="2"/>
        <scheme val="minor"/>
      </rPr>
      <t/>
    </r>
  </si>
  <si>
    <r>
      <t>DM</t>
    </r>
    <r>
      <rPr>
        <b/>
        <vertAlign val="subscript"/>
        <sz val="8"/>
        <color theme="1"/>
        <rFont val="Times New Roman"/>
        <family val="1"/>
      </rPr>
      <t>8</t>
    </r>
    <r>
      <rPr>
        <sz val="11"/>
        <color theme="1"/>
        <rFont val="Calibri"/>
        <family val="2"/>
        <scheme val="minor"/>
      </rPr>
      <t/>
    </r>
  </si>
  <si>
    <r>
      <t>DM</t>
    </r>
    <r>
      <rPr>
        <b/>
        <vertAlign val="subscript"/>
        <sz val="8"/>
        <color theme="1"/>
        <rFont val="Times New Roman"/>
        <family val="1"/>
      </rPr>
      <t>9</t>
    </r>
    <r>
      <rPr>
        <sz val="11"/>
        <color theme="1"/>
        <rFont val="Calibri"/>
        <family val="2"/>
        <scheme val="minor"/>
      </rPr>
      <t/>
    </r>
  </si>
  <si>
    <r>
      <t>DM</t>
    </r>
    <r>
      <rPr>
        <b/>
        <vertAlign val="subscript"/>
        <sz val="8"/>
        <color theme="1"/>
        <rFont val="Times New Roman"/>
        <family val="1"/>
      </rPr>
      <t>10</t>
    </r>
    <r>
      <rPr>
        <sz val="11"/>
        <color theme="1"/>
        <rFont val="Calibri"/>
        <family val="2"/>
        <scheme val="minor"/>
      </rPr>
      <t/>
    </r>
  </si>
  <si>
    <t>SQE</t>
  </si>
  <si>
    <t>Sum</t>
  </si>
  <si>
    <t>Qe</t>
  </si>
  <si>
    <t xml:space="preserve">Positive Distance </t>
  </si>
  <si>
    <t>Negative Distance</t>
  </si>
  <si>
    <t>Ideal Positive</t>
  </si>
  <si>
    <t>Ideal Negative</t>
  </si>
  <si>
    <t>Alternatives</t>
  </si>
  <si>
    <r>
      <t>C</t>
    </r>
    <r>
      <rPr>
        <b/>
        <vertAlign val="subscript"/>
        <sz val="10"/>
        <color rgb="FF000000"/>
        <rFont val="Times New Roman"/>
        <family val="1"/>
      </rPr>
      <t>1</t>
    </r>
  </si>
  <si>
    <r>
      <t>C</t>
    </r>
    <r>
      <rPr>
        <b/>
        <vertAlign val="subscript"/>
        <sz val="10"/>
        <color rgb="FF000000"/>
        <rFont val="Times New Roman"/>
        <family val="1"/>
      </rPr>
      <t>2</t>
    </r>
  </si>
  <si>
    <r>
      <t>C</t>
    </r>
    <r>
      <rPr>
        <b/>
        <vertAlign val="subscript"/>
        <sz val="10"/>
        <color rgb="FF000000"/>
        <rFont val="Times New Roman"/>
        <family val="1"/>
      </rPr>
      <t>3</t>
    </r>
  </si>
  <si>
    <r>
      <t>C</t>
    </r>
    <r>
      <rPr>
        <b/>
        <vertAlign val="subscript"/>
        <sz val="10"/>
        <color rgb="FF000000"/>
        <rFont val="Times New Roman"/>
        <family val="1"/>
      </rPr>
      <t>4</t>
    </r>
  </si>
  <si>
    <r>
      <t>C</t>
    </r>
    <r>
      <rPr>
        <b/>
        <vertAlign val="subscript"/>
        <sz val="10"/>
        <color rgb="FF000000"/>
        <rFont val="Times New Roman"/>
        <family val="1"/>
      </rPr>
      <t>5</t>
    </r>
  </si>
  <si>
    <r>
      <t>C</t>
    </r>
    <r>
      <rPr>
        <b/>
        <vertAlign val="subscript"/>
        <sz val="10"/>
        <color rgb="FF000000"/>
        <rFont val="Times New Roman"/>
        <family val="1"/>
      </rPr>
      <t>6</t>
    </r>
  </si>
  <si>
    <r>
      <t>C</t>
    </r>
    <r>
      <rPr>
        <b/>
        <vertAlign val="subscript"/>
        <sz val="10"/>
        <color rgb="FF000000"/>
        <rFont val="Times New Roman"/>
        <family val="1"/>
      </rPr>
      <t>7</t>
    </r>
  </si>
  <si>
    <r>
      <t>C</t>
    </r>
    <r>
      <rPr>
        <b/>
        <vertAlign val="subscript"/>
        <sz val="10"/>
        <color rgb="FF000000"/>
        <rFont val="Times New Roman"/>
        <family val="1"/>
      </rPr>
      <t>8</t>
    </r>
  </si>
  <si>
    <r>
      <t>C</t>
    </r>
    <r>
      <rPr>
        <b/>
        <vertAlign val="subscript"/>
        <sz val="10"/>
        <color rgb="FF000000"/>
        <rFont val="Times New Roman"/>
        <family val="1"/>
      </rPr>
      <t>9</t>
    </r>
  </si>
  <si>
    <r>
      <t>C</t>
    </r>
    <r>
      <rPr>
        <b/>
        <vertAlign val="subscript"/>
        <sz val="10"/>
        <color rgb="FF000000"/>
        <rFont val="Times New Roman"/>
        <family val="1"/>
      </rPr>
      <t>10</t>
    </r>
  </si>
  <si>
    <r>
      <t>A</t>
    </r>
    <r>
      <rPr>
        <b/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>: VegZone</t>
    </r>
  </si>
  <si>
    <r>
      <t>A</t>
    </r>
    <r>
      <rPr>
        <b/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: Green Delight</t>
    </r>
  </si>
  <si>
    <r>
      <t>A</t>
    </r>
    <r>
      <rPr>
        <b/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: Plantopia</t>
    </r>
  </si>
  <si>
    <t>DM2</t>
  </si>
  <si>
    <t>DM3</t>
  </si>
  <si>
    <t>DM4</t>
  </si>
  <si>
    <t>DM5</t>
  </si>
  <si>
    <t>DM6</t>
  </si>
  <si>
    <t>DM7</t>
  </si>
  <si>
    <t>VUI</t>
  </si>
  <si>
    <r>
      <t>A</t>
    </r>
    <r>
      <rPr>
        <b/>
        <vertAlign val="subscript"/>
        <sz val="8"/>
        <color rgb="FF000000"/>
        <rFont val="Times New Roman"/>
        <family val="1"/>
      </rPr>
      <t>1</t>
    </r>
  </si>
  <si>
    <r>
      <t>A</t>
    </r>
    <r>
      <rPr>
        <b/>
        <vertAlign val="subscript"/>
        <sz val="8"/>
        <color rgb="FF000000"/>
        <rFont val="Times New Roman"/>
        <family val="1"/>
      </rPr>
      <t>2</t>
    </r>
  </si>
  <si>
    <r>
      <t>A</t>
    </r>
    <r>
      <rPr>
        <b/>
        <vertAlign val="subscript"/>
        <sz val="8"/>
        <color rgb="FF000000"/>
        <rFont val="Times New Roman"/>
        <family val="1"/>
      </rPr>
      <t>3</t>
    </r>
  </si>
  <si>
    <t>A1</t>
  </si>
  <si>
    <t>A2</t>
  </si>
  <si>
    <t>A3</t>
  </si>
  <si>
    <t>A1: VegZone</t>
  </si>
  <si>
    <t>A2: Green Delight</t>
  </si>
  <si>
    <t>A3: Plantopia</t>
  </si>
  <si>
    <t>BETA</t>
  </si>
  <si>
    <t>cci</t>
  </si>
  <si>
    <t>wi</t>
  </si>
  <si>
    <t>Bu matris ankettin deneyim ve bilgi kısmından alınıp işlenmiştir</t>
  </si>
  <si>
    <t>Bu matris anket bilgilerinin Tablo 1 kullanılarak sayısal hale getirildiği kısım</t>
  </si>
  <si>
    <t>Bu matris makaledei 9. denklem kullanılarak hesaplandı.</t>
  </si>
  <si>
    <t>SQE ve Qe değerleri sırasıyla makaledeki 10 ve 11. formüller kullanılarak bulundu. Böylece her katılımcının karar vermedeki etkisi belirlendi.</t>
  </si>
  <si>
    <t xml:space="preserve">Bu matris ankette katılımcıların her bir kriter için yorumlarını içeriyor. </t>
  </si>
  <si>
    <t>Bu matris makaledeki Tablo 2 kullanılarak bir üstteki tablodaki sözel ifadelerin sayısal hale dönüştürüldüğü kısımdır</t>
  </si>
  <si>
    <t>Bu tablo makaledeki 12. denklem kullanılarak tüm karar vericilerin kriter ağırlıkları üzerindekini göstermek için hesaplanmıştır.</t>
  </si>
  <si>
    <t>Bu tablolardaki Positive distance makaledeki 13. negative distance makaledeki 14., cci değerleri makaledeki 15. ve nihai kriter ağırlıkları ise makaledeki 16. denklem ile bulunmuştur.</t>
  </si>
  <si>
    <t>Bu matris anket verilerinden alınmıştır ve her bir karar vericinin kriterler bazında alternatifleri değerlendirdiği sözel ifadeleri içermektedir.</t>
  </si>
  <si>
    <t>Bu matris anket verilerinden alınmıştır ve her bir karar vericinin kriterler bazında alternatifleri değerlendirdiği sözel ifadelerin makalede Tablo 2 de verilen verilerle sayısal hala dönüştürüldüğü kısımdır içermektedir.</t>
  </si>
  <si>
    <t>Bu matris makaledeki 12. denklem kullanılarak tüm katılımcıların kriterler bazında alternatifler için yaptıkları değerlendirmelerin bir araya getirilmiş halidir.</t>
  </si>
  <si>
    <t>Burada makaledeki 18. denklem kullanılarak her bir alternatifin her kriter için skoru hesaplanmıştır.</t>
  </si>
  <si>
    <t>Bu tabloda makaledeki 19. denklem kullanılarak linear normalizasyon yapılmıştır.</t>
  </si>
  <si>
    <t>Bu tabloda makaledeki 20. denklem kullanılarak vektör normalizasyonu yapılmıştır.</t>
  </si>
  <si>
    <t>Bu tabloda makale verilen 20 nolu denklem kullanılarak betanın 0.5 olduğu bir aggregated normalizasyon yapılmıştır.</t>
  </si>
  <si>
    <t>Bu tabloda yer alan veriler, bir üst tablodaki değerler ve kriter ağırlıkları ile çarpılarak yani 22 nolu denklem kullanılarak elde edilmiştir.</t>
  </si>
  <si>
    <t>Bütün alternatiflerin kriter bazlı puanları toplanmış ve en yüksek olan seçilmiştir.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</si>
</sst>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vertAlign val="subscript"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vertAlign val="subscript"/>
      <sz val="8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16" fillId="0" borderId="13" xfId="0" applyFont="1" applyBorder="1"/>
    <xf numFmtId="0" fontId="17" fillId="0" borderId="10" xfId="0" applyFont="1" applyBorder="1"/>
    <xf numFmtId="0" fontId="16" fillId="0" borderId="6" xfId="0" applyFont="1" applyBorder="1"/>
    <xf numFmtId="0" fontId="17" fillId="0" borderId="11" xfId="0" applyFont="1" applyBorder="1"/>
    <xf numFmtId="0" fontId="16" fillId="0" borderId="8" xfId="0" applyFont="1" applyBorder="1"/>
    <xf numFmtId="0" fontId="17" fillId="0" borderId="12" xfId="0" applyFont="1" applyBorder="1"/>
    <xf numFmtId="0" fontId="16" fillId="0" borderId="18" xfId="0" applyFont="1" applyBorder="1"/>
    <xf numFmtId="0" fontId="7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" fontId="4" fillId="0" borderId="6" xfId="0" applyNumberFormat="1" applyFont="1" applyBorder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0</xdr:rowOff>
    </xdr:from>
    <xdr:to>
      <xdr:col>1</xdr:col>
      <xdr:colOff>60960</xdr:colOff>
      <xdr:row>56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1CE6A-20F1-4145-A9E3-001985C1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" y="1037844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68580</xdr:colOff>
      <xdr:row>56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E9128B-2A31-43F9-8CA7-79A5148D6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68580</xdr:colOff>
      <xdr:row>56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CF7A36-13D1-4D26-BAE0-BB9AA7BF1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60960</xdr:colOff>
      <xdr:row>56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EB2449-26BB-4858-9B53-A6C8937EE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1037844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68580</xdr:colOff>
      <xdr:row>56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F36458-4559-4D38-AD92-28B2E851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90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68580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0D2BFE-7F2D-495C-ABDE-A7DAB9044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86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</xdr:colOff>
      <xdr:row>56</xdr:row>
      <xdr:rowOff>129540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699A10-3729-4B09-9471-A3259A43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1037844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68580</xdr:colOff>
      <xdr:row>56</xdr:row>
      <xdr:rowOff>129540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67557C-CF35-4000-935B-75177B17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78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9</xdr:col>
      <xdr:colOff>68580</xdr:colOff>
      <xdr:row>56</xdr:row>
      <xdr:rowOff>129540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BA9E8A-18E1-400F-9DBC-C25ACF603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74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56</xdr:row>
      <xdr:rowOff>0</xdr:rowOff>
    </xdr:from>
    <xdr:to>
      <xdr:col>10</xdr:col>
      <xdr:colOff>60960</xdr:colOff>
      <xdr:row>56</xdr:row>
      <xdr:rowOff>129540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CC7E87-CC21-4663-B841-586C82D4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1037844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68580</xdr:colOff>
      <xdr:row>56</xdr:row>
      <xdr:rowOff>129540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2BFA3D5-FB7A-4F1C-AE32-B809E44E3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56</xdr:row>
      <xdr:rowOff>0</xdr:rowOff>
    </xdr:from>
    <xdr:to>
      <xdr:col>12</xdr:col>
      <xdr:colOff>68580</xdr:colOff>
      <xdr:row>56</xdr:row>
      <xdr:rowOff>129540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AE71160-9EE1-4829-934D-2D30991C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62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56</xdr:row>
      <xdr:rowOff>0</xdr:rowOff>
    </xdr:from>
    <xdr:to>
      <xdr:col>13</xdr:col>
      <xdr:colOff>60960</xdr:colOff>
      <xdr:row>56</xdr:row>
      <xdr:rowOff>129540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A16A6F-1322-49F8-835A-694156C0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5840" y="1037844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68580</xdr:colOff>
      <xdr:row>56</xdr:row>
      <xdr:rowOff>129540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EB0DFD-2D06-4847-A3C9-36ECA7C2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4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68580</xdr:colOff>
      <xdr:row>56</xdr:row>
      <xdr:rowOff>129540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58BB94-6992-4727-9A76-3CB415A6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5040" y="103784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60960</xdr:colOff>
      <xdr:row>68</xdr:row>
      <xdr:rowOff>129540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1E14527-CD11-4D98-9950-506DB5723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" y="122301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68580</xdr:colOff>
      <xdr:row>68</xdr:row>
      <xdr:rowOff>129540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FC2F4B5-EFE6-4D76-83DF-21A4FE37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15240</xdr:colOff>
      <xdr:row>68</xdr:row>
      <xdr:rowOff>0</xdr:rowOff>
    </xdr:from>
    <xdr:to>
      <xdr:col>3</xdr:col>
      <xdr:colOff>83820</xdr:colOff>
      <xdr:row>68</xdr:row>
      <xdr:rowOff>129540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37AB61D-B1C8-4918-AB17-D80977B1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125120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68</xdr:row>
      <xdr:rowOff>0</xdr:rowOff>
    </xdr:from>
    <xdr:to>
      <xdr:col>4</xdr:col>
      <xdr:colOff>60960</xdr:colOff>
      <xdr:row>68</xdr:row>
      <xdr:rowOff>129540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A41D6F4-D494-45BC-9813-89E6BDA8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122301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68580</xdr:colOff>
      <xdr:row>68</xdr:row>
      <xdr:rowOff>129540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95CB648-E3EE-4F91-8677-953A4370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90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68580</xdr:colOff>
      <xdr:row>68</xdr:row>
      <xdr:rowOff>129540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D3A221E-DD85-41E2-A6FD-9A9F5779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86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</xdr:colOff>
      <xdr:row>68</xdr:row>
      <xdr:rowOff>129540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20A5A22-339C-43BA-931C-A205BCEA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122301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68580</xdr:colOff>
      <xdr:row>68</xdr:row>
      <xdr:rowOff>129540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0F587F9-0442-4776-AFCF-DF5458D2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78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9</xdr:col>
      <xdr:colOff>68580</xdr:colOff>
      <xdr:row>68</xdr:row>
      <xdr:rowOff>129540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B7CB250-8CCF-4886-A0B7-C71192D4D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74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60960</xdr:colOff>
      <xdr:row>68</xdr:row>
      <xdr:rowOff>129540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E21A960-050C-4926-81D7-8207858D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122301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68580</xdr:colOff>
      <xdr:row>68</xdr:row>
      <xdr:rowOff>129540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154254C-6B4E-4C44-9C62-8E45E6F5A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68580</xdr:colOff>
      <xdr:row>68</xdr:row>
      <xdr:rowOff>129540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C619FDC-A6AD-4C58-AF7B-70620E70B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9120" y="1255014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68</xdr:row>
      <xdr:rowOff>0</xdr:rowOff>
    </xdr:from>
    <xdr:to>
      <xdr:col>13</xdr:col>
      <xdr:colOff>60960</xdr:colOff>
      <xdr:row>68</xdr:row>
      <xdr:rowOff>129540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BA19DD-ED81-45E0-987D-659E652E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5840" y="122301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68580</xdr:colOff>
      <xdr:row>68</xdr:row>
      <xdr:rowOff>129540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6131554-D460-4F25-B6C4-8D5F20DC1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4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68</xdr:row>
      <xdr:rowOff>0</xdr:rowOff>
    </xdr:from>
    <xdr:to>
      <xdr:col>15</xdr:col>
      <xdr:colOff>68580</xdr:colOff>
      <xdr:row>68</xdr:row>
      <xdr:rowOff>129540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45095A7-3928-4777-9509-351F10D2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5040" y="122301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83820</xdr:colOff>
      <xdr:row>80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2391D95-CC80-4E6E-8971-0E51EB922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" y="14813280"/>
          <a:ext cx="838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83820</xdr:colOff>
      <xdr:row>80</xdr:row>
      <xdr:rowOff>160020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8B6FAD9-3B1D-4A08-B0A3-87B5D771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14813280"/>
          <a:ext cx="838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80</xdr:row>
      <xdr:rowOff>0</xdr:rowOff>
    </xdr:from>
    <xdr:to>
      <xdr:col>3</xdr:col>
      <xdr:colOff>83820</xdr:colOff>
      <xdr:row>80</xdr:row>
      <xdr:rowOff>160020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081D18D-EBEA-447A-899F-E1ACF23A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980" y="14767560"/>
          <a:ext cx="838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60960</xdr:colOff>
      <xdr:row>139</xdr:row>
      <xdr:rowOff>129540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526D1F8-FCDC-4F8C-8EE5-DF7D46B62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6050488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139</xdr:row>
      <xdr:rowOff>0</xdr:rowOff>
    </xdr:from>
    <xdr:to>
      <xdr:col>3</xdr:col>
      <xdr:colOff>68580</xdr:colOff>
      <xdr:row>139</xdr:row>
      <xdr:rowOff>129540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72806F6-777F-4737-A7D0-433AF9DD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68580</xdr:colOff>
      <xdr:row>139</xdr:row>
      <xdr:rowOff>129540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8BC8A0D-D615-49EE-B376-9B289C6E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5</xdr:col>
      <xdr:colOff>60960</xdr:colOff>
      <xdr:row>139</xdr:row>
      <xdr:rowOff>129540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F0C72C2-52BF-4171-B4FB-AE5F6C989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580" y="257175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68580</xdr:colOff>
      <xdr:row>139</xdr:row>
      <xdr:rowOff>129540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40C6B15-D7BF-4E98-AAA4-CA154890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68580</xdr:colOff>
      <xdr:row>139</xdr:row>
      <xdr:rowOff>129540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EE6EB99-1718-48A3-AD26-0362B0E7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60960</xdr:colOff>
      <xdr:row>139</xdr:row>
      <xdr:rowOff>129540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42B1621-F971-4CF0-82FE-CD8F2885D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9380" y="257175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68580</xdr:colOff>
      <xdr:row>139</xdr:row>
      <xdr:rowOff>129540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A227EAB-9F81-4C91-A2AC-98EB09EF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68580</xdr:colOff>
      <xdr:row>139</xdr:row>
      <xdr:rowOff>129540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4D54C03-46FE-4E42-A109-F87BE27B1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139</xdr:row>
      <xdr:rowOff>0</xdr:rowOff>
    </xdr:from>
    <xdr:to>
      <xdr:col>11</xdr:col>
      <xdr:colOff>60960</xdr:colOff>
      <xdr:row>139</xdr:row>
      <xdr:rowOff>129540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B75D72A-9009-46B7-A39D-41C97268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180" y="257175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68580</xdr:colOff>
      <xdr:row>139</xdr:row>
      <xdr:rowOff>129540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EE1D3C4-C3FF-478C-8168-16230BAD6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77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139</xdr:row>
      <xdr:rowOff>0</xdr:rowOff>
    </xdr:from>
    <xdr:to>
      <xdr:col>13</xdr:col>
      <xdr:colOff>68580</xdr:colOff>
      <xdr:row>139</xdr:row>
      <xdr:rowOff>129540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1975F2-DC9E-4FD6-8F1D-796614D8A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73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60960</xdr:colOff>
      <xdr:row>139</xdr:row>
      <xdr:rowOff>129540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7C9FEB3-6972-4122-9A05-F73C6CDB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6980" y="257175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139</xdr:row>
      <xdr:rowOff>0</xdr:rowOff>
    </xdr:from>
    <xdr:to>
      <xdr:col>15</xdr:col>
      <xdr:colOff>68580</xdr:colOff>
      <xdr:row>139</xdr:row>
      <xdr:rowOff>129540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AA7315D-E039-44F9-ADAC-875895279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68580</xdr:colOff>
      <xdr:row>139</xdr:row>
      <xdr:rowOff>129540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B5B4ED6-F323-4629-8A43-18A31169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6180" y="257175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60960</xdr:colOff>
      <xdr:row>144</xdr:row>
      <xdr:rowOff>129540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DBC00E7-DAD7-4F30-A609-4D86FD6B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272034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144</xdr:row>
      <xdr:rowOff>0</xdr:rowOff>
    </xdr:from>
    <xdr:to>
      <xdr:col>3</xdr:col>
      <xdr:colOff>68580</xdr:colOff>
      <xdr:row>144</xdr:row>
      <xdr:rowOff>129540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5B61B9B-3BFD-4D45-8757-28192D103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68580</xdr:colOff>
      <xdr:row>144</xdr:row>
      <xdr:rowOff>129540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3354D9B-7542-4809-8327-3C074D5B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144</xdr:row>
      <xdr:rowOff>0</xdr:rowOff>
    </xdr:from>
    <xdr:to>
      <xdr:col>5</xdr:col>
      <xdr:colOff>60960</xdr:colOff>
      <xdr:row>144</xdr:row>
      <xdr:rowOff>129540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A9A47E0-5A13-420F-8B3B-8CF7CD44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580" y="272034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68580</xdr:colOff>
      <xdr:row>144</xdr:row>
      <xdr:rowOff>129540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489753-9738-4020-8000-BDBAC5734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68580</xdr:colOff>
      <xdr:row>144</xdr:row>
      <xdr:rowOff>129540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A88782F-041E-4D07-83F9-9882CCCB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60960</xdr:colOff>
      <xdr:row>144</xdr:row>
      <xdr:rowOff>129540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F089A98-FD22-4B07-9A78-98912347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9380" y="272034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144</xdr:row>
      <xdr:rowOff>0</xdr:rowOff>
    </xdr:from>
    <xdr:to>
      <xdr:col>9</xdr:col>
      <xdr:colOff>68580</xdr:colOff>
      <xdr:row>144</xdr:row>
      <xdr:rowOff>129540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E0F11C5-812D-47EA-A0FE-AC6659CB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144</xdr:row>
      <xdr:rowOff>0</xdr:rowOff>
    </xdr:from>
    <xdr:to>
      <xdr:col>10</xdr:col>
      <xdr:colOff>68580</xdr:colOff>
      <xdr:row>144</xdr:row>
      <xdr:rowOff>129540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E3B2CE4-16BE-4AEA-AB90-146ACEB7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60960</xdr:colOff>
      <xdr:row>144</xdr:row>
      <xdr:rowOff>129540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4BF0EBE-1A78-497D-83DC-0F6997B39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180" y="272034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144</xdr:row>
      <xdr:rowOff>0</xdr:rowOff>
    </xdr:from>
    <xdr:to>
      <xdr:col>12</xdr:col>
      <xdr:colOff>68580</xdr:colOff>
      <xdr:row>144</xdr:row>
      <xdr:rowOff>129540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281C16A-57D6-4D2C-8A40-E1F119422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77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144</xdr:row>
      <xdr:rowOff>0</xdr:rowOff>
    </xdr:from>
    <xdr:to>
      <xdr:col>13</xdr:col>
      <xdr:colOff>68580</xdr:colOff>
      <xdr:row>144</xdr:row>
      <xdr:rowOff>129540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BAABDD3-E007-4680-9BE7-45DA241F2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73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60960</xdr:colOff>
      <xdr:row>144</xdr:row>
      <xdr:rowOff>129540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C64FBE0-E02E-40C1-BBD3-7B0F82BE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6980" y="272034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144</xdr:row>
      <xdr:rowOff>0</xdr:rowOff>
    </xdr:from>
    <xdr:to>
      <xdr:col>15</xdr:col>
      <xdr:colOff>68580</xdr:colOff>
      <xdr:row>144</xdr:row>
      <xdr:rowOff>129540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850DBB7-0A03-48E5-A299-DAA7DB237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144</xdr:row>
      <xdr:rowOff>0</xdr:rowOff>
    </xdr:from>
    <xdr:to>
      <xdr:col>16</xdr:col>
      <xdr:colOff>68580</xdr:colOff>
      <xdr:row>144</xdr:row>
      <xdr:rowOff>129540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A9A97EC-BBFF-430E-B5C9-51070520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6180" y="272034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2</xdr:col>
      <xdr:colOff>60960</xdr:colOff>
      <xdr:row>149</xdr:row>
      <xdr:rowOff>129540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BD32B5B9-F658-43DD-8D9D-50A21E6F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6050488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149</xdr:row>
      <xdr:rowOff>0</xdr:rowOff>
    </xdr:from>
    <xdr:to>
      <xdr:col>3</xdr:col>
      <xdr:colOff>68580</xdr:colOff>
      <xdr:row>149</xdr:row>
      <xdr:rowOff>129540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BDA8A8B-E858-4A34-B392-BA335EFB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149</xdr:row>
      <xdr:rowOff>0</xdr:rowOff>
    </xdr:from>
    <xdr:to>
      <xdr:col>4</xdr:col>
      <xdr:colOff>68580</xdr:colOff>
      <xdr:row>149</xdr:row>
      <xdr:rowOff>129540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AE18249F-FBAA-49F7-8A8F-525C23C5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5</xdr:col>
      <xdr:colOff>60960</xdr:colOff>
      <xdr:row>149</xdr:row>
      <xdr:rowOff>129540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2258E4F2-DF88-4FF0-9CD2-4CA71DDD0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6050488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68580</xdr:colOff>
      <xdr:row>149</xdr:row>
      <xdr:rowOff>129540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CDB6DED4-5238-4498-90DF-055C29C9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68580</xdr:colOff>
      <xdr:row>149</xdr:row>
      <xdr:rowOff>129540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46B6E95-5886-41D5-94C1-D0A441BA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8</xdr:col>
      <xdr:colOff>60960</xdr:colOff>
      <xdr:row>149</xdr:row>
      <xdr:rowOff>129540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9AB1993D-2E98-47EC-9B44-E5D5F671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6050488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68580</xdr:colOff>
      <xdr:row>149</xdr:row>
      <xdr:rowOff>129540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89BD0D1D-5FD4-4620-A9C9-1CE9F1828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149</xdr:row>
      <xdr:rowOff>0</xdr:rowOff>
    </xdr:from>
    <xdr:to>
      <xdr:col>10</xdr:col>
      <xdr:colOff>68580</xdr:colOff>
      <xdr:row>149</xdr:row>
      <xdr:rowOff>129540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DB0A9740-78AC-4ED7-89D6-C391FD34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149</xdr:row>
      <xdr:rowOff>0</xdr:rowOff>
    </xdr:from>
    <xdr:to>
      <xdr:col>11</xdr:col>
      <xdr:colOff>60960</xdr:colOff>
      <xdr:row>149</xdr:row>
      <xdr:rowOff>129540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B1447C53-0B14-46A0-B64B-96716A254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6050488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149</xdr:row>
      <xdr:rowOff>0</xdr:rowOff>
    </xdr:from>
    <xdr:to>
      <xdr:col>12</xdr:col>
      <xdr:colOff>68580</xdr:colOff>
      <xdr:row>149</xdr:row>
      <xdr:rowOff>129540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1EE56665-C77C-4467-AC19-BC41819B0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149</xdr:row>
      <xdr:rowOff>0</xdr:rowOff>
    </xdr:from>
    <xdr:to>
      <xdr:col>13</xdr:col>
      <xdr:colOff>68580</xdr:colOff>
      <xdr:row>149</xdr:row>
      <xdr:rowOff>129540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F3455F5-66AE-420B-A688-81120CF5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60960</xdr:colOff>
      <xdr:row>149</xdr:row>
      <xdr:rowOff>129540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309FDB0-8B8B-4578-8ACC-9C56A63A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6050488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149</xdr:row>
      <xdr:rowOff>0</xdr:rowOff>
    </xdr:from>
    <xdr:to>
      <xdr:col>15</xdr:col>
      <xdr:colOff>68580</xdr:colOff>
      <xdr:row>149</xdr:row>
      <xdr:rowOff>129540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8D121A5-7C29-448F-B455-CC59CCF1C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149</xdr:row>
      <xdr:rowOff>0</xdr:rowOff>
    </xdr:from>
    <xdr:to>
      <xdr:col>16</xdr:col>
      <xdr:colOff>68580</xdr:colOff>
      <xdr:row>149</xdr:row>
      <xdr:rowOff>129540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AA740F79-57E1-4145-823F-E10F5F148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6050488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2</xdr:col>
      <xdr:colOff>60960</xdr:colOff>
      <xdr:row>154</xdr:row>
      <xdr:rowOff>129540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80970064-F1ED-4BAE-9525-687374CC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6998341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154</xdr:row>
      <xdr:rowOff>0</xdr:rowOff>
    </xdr:from>
    <xdr:to>
      <xdr:col>3</xdr:col>
      <xdr:colOff>68580</xdr:colOff>
      <xdr:row>154</xdr:row>
      <xdr:rowOff>129540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5F840E66-3359-4FF3-B169-06DD1007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154</xdr:row>
      <xdr:rowOff>0</xdr:rowOff>
    </xdr:from>
    <xdr:to>
      <xdr:col>4</xdr:col>
      <xdr:colOff>68580</xdr:colOff>
      <xdr:row>154</xdr:row>
      <xdr:rowOff>129540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3197BBC-5F7F-498C-9072-8C52E99E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154</xdr:row>
      <xdr:rowOff>0</xdr:rowOff>
    </xdr:from>
    <xdr:to>
      <xdr:col>5</xdr:col>
      <xdr:colOff>60960</xdr:colOff>
      <xdr:row>154</xdr:row>
      <xdr:rowOff>129540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B05E619A-7024-402C-BFE6-D92875CD3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6998341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68580</xdr:colOff>
      <xdr:row>154</xdr:row>
      <xdr:rowOff>129540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C7E2D28-305E-4769-9E15-916BEF93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68580</xdr:colOff>
      <xdr:row>154</xdr:row>
      <xdr:rowOff>129540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D971701-98EA-45E1-B2FE-68A342C72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60960</xdr:colOff>
      <xdr:row>154</xdr:row>
      <xdr:rowOff>129540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F19FF819-F80A-4CFA-9DE3-67E114351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6998341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154</xdr:row>
      <xdr:rowOff>0</xdr:rowOff>
    </xdr:from>
    <xdr:to>
      <xdr:col>9</xdr:col>
      <xdr:colOff>68580</xdr:colOff>
      <xdr:row>154</xdr:row>
      <xdr:rowOff>129540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9147EE1F-C8CA-421B-8EB2-D428BA03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154</xdr:row>
      <xdr:rowOff>0</xdr:rowOff>
    </xdr:from>
    <xdr:to>
      <xdr:col>10</xdr:col>
      <xdr:colOff>68580</xdr:colOff>
      <xdr:row>154</xdr:row>
      <xdr:rowOff>129540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1FBB1A94-3AFD-4D01-B718-4B64901AF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154</xdr:row>
      <xdr:rowOff>0</xdr:rowOff>
    </xdr:from>
    <xdr:to>
      <xdr:col>11</xdr:col>
      <xdr:colOff>60960</xdr:colOff>
      <xdr:row>154</xdr:row>
      <xdr:rowOff>129540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7E4ACDB6-7DB4-44E7-93A2-3D6E74AA0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6998341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154</xdr:row>
      <xdr:rowOff>0</xdr:rowOff>
    </xdr:from>
    <xdr:to>
      <xdr:col>12</xdr:col>
      <xdr:colOff>68580</xdr:colOff>
      <xdr:row>154</xdr:row>
      <xdr:rowOff>129540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55D14F0-5080-49BC-8C64-42AE17A7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68580</xdr:colOff>
      <xdr:row>154</xdr:row>
      <xdr:rowOff>129540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DB0E559E-5988-4B2D-AFD1-D9DD493F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60960</xdr:colOff>
      <xdr:row>154</xdr:row>
      <xdr:rowOff>129540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1400C56E-EC2E-419D-823F-B6A77CBD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6998341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154</xdr:row>
      <xdr:rowOff>0</xdr:rowOff>
    </xdr:from>
    <xdr:to>
      <xdr:col>15</xdr:col>
      <xdr:colOff>68580</xdr:colOff>
      <xdr:row>154</xdr:row>
      <xdr:rowOff>129540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25FA76C3-437D-48A0-BB07-EEB1B5D38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154</xdr:row>
      <xdr:rowOff>0</xdr:rowOff>
    </xdr:from>
    <xdr:to>
      <xdr:col>16</xdr:col>
      <xdr:colOff>68580</xdr:colOff>
      <xdr:row>154</xdr:row>
      <xdr:rowOff>129540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2636ED46-BFBB-4872-864D-72189AF2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6998341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2</xdr:col>
      <xdr:colOff>60960</xdr:colOff>
      <xdr:row>159</xdr:row>
      <xdr:rowOff>129540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AF4EDCFB-931D-43E4-8517-C85FAF74B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159</xdr:row>
      <xdr:rowOff>0</xdr:rowOff>
    </xdr:from>
    <xdr:to>
      <xdr:col>3</xdr:col>
      <xdr:colOff>68580</xdr:colOff>
      <xdr:row>159</xdr:row>
      <xdr:rowOff>129540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BFC3D2C-47D2-48AB-899A-49EAF7BB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159</xdr:row>
      <xdr:rowOff>0</xdr:rowOff>
    </xdr:from>
    <xdr:to>
      <xdr:col>4</xdr:col>
      <xdr:colOff>68580</xdr:colOff>
      <xdr:row>159</xdr:row>
      <xdr:rowOff>129540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9A7E972-0FCD-4FC2-ACBF-8A938A907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5</xdr:col>
      <xdr:colOff>60960</xdr:colOff>
      <xdr:row>159</xdr:row>
      <xdr:rowOff>129540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C8F5CB40-C0FA-49B6-A607-9127C6375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68580</xdr:colOff>
      <xdr:row>159</xdr:row>
      <xdr:rowOff>129540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4E443740-EDA3-458F-A7A3-0A440C77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68580</xdr:colOff>
      <xdr:row>159</xdr:row>
      <xdr:rowOff>129540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6E59E0F-7F43-4030-B4A9-325B65543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60960</xdr:colOff>
      <xdr:row>159</xdr:row>
      <xdr:rowOff>129540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874C4AE-D59A-45C0-8FB5-0C1D9C32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159</xdr:row>
      <xdr:rowOff>0</xdr:rowOff>
    </xdr:from>
    <xdr:to>
      <xdr:col>9</xdr:col>
      <xdr:colOff>68580</xdr:colOff>
      <xdr:row>159</xdr:row>
      <xdr:rowOff>129540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FC780AA8-D69E-423E-AE5A-EBE9CB922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159</xdr:row>
      <xdr:rowOff>0</xdr:rowOff>
    </xdr:from>
    <xdr:to>
      <xdr:col>10</xdr:col>
      <xdr:colOff>68580</xdr:colOff>
      <xdr:row>159</xdr:row>
      <xdr:rowOff>129540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31BAC464-D2A8-4BBD-BD69-9E8673BF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159</xdr:row>
      <xdr:rowOff>0</xdr:rowOff>
    </xdr:from>
    <xdr:to>
      <xdr:col>11</xdr:col>
      <xdr:colOff>60960</xdr:colOff>
      <xdr:row>159</xdr:row>
      <xdr:rowOff>129540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FA82A07-6D46-435D-B8F2-28E86A0E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159</xdr:row>
      <xdr:rowOff>0</xdr:rowOff>
    </xdr:from>
    <xdr:to>
      <xdr:col>12</xdr:col>
      <xdr:colOff>68580</xdr:colOff>
      <xdr:row>159</xdr:row>
      <xdr:rowOff>129540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3B74C70D-D89C-4823-BD07-46012F32B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159</xdr:row>
      <xdr:rowOff>0</xdr:rowOff>
    </xdr:from>
    <xdr:to>
      <xdr:col>13</xdr:col>
      <xdr:colOff>68580</xdr:colOff>
      <xdr:row>159</xdr:row>
      <xdr:rowOff>129540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F5255949-04B3-4674-80E2-75CEA6AA8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60960</xdr:colOff>
      <xdr:row>159</xdr:row>
      <xdr:rowOff>129540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D6DA79A0-F71E-45C4-B7AD-3E7A64521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159</xdr:row>
      <xdr:rowOff>0</xdr:rowOff>
    </xdr:from>
    <xdr:to>
      <xdr:col>15</xdr:col>
      <xdr:colOff>68580</xdr:colOff>
      <xdr:row>159</xdr:row>
      <xdr:rowOff>129540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A354E2C3-8498-43E3-AF06-DE4AC6F7E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159</xdr:row>
      <xdr:rowOff>0</xdr:rowOff>
    </xdr:from>
    <xdr:to>
      <xdr:col>16</xdr:col>
      <xdr:colOff>68580</xdr:colOff>
      <xdr:row>159</xdr:row>
      <xdr:rowOff>129540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50B26524-7F1F-435E-8B4C-399D407F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2</xdr:col>
      <xdr:colOff>60960</xdr:colOff>
      <xdr:row>164</xdr:row>
      <xdr:rowOff>129540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7FBD5F85-F446-4158-9452-CF49A5B8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164</xdr:row>
      <xdr:rowOff>0</xdr:rowOff>
    </xdr:from>
    <xdr:to>
      <xdr:col>3</xdr:col>
      <xdr:colOff>68580</xdr:colOff>
      <xdr:row>164</xdr:row>
      <xdr:rowOff>129540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9A64CE8D-FF15-4C60-8067-9716C19C7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164</xdr:row>
      <xdr:rowOff>0</xdr:rowOff>
    </xdr:from>
    <xdr:to>
      <xdr:col>4</xdr:col>
      <xdr:colOff>68580</xdr:colOff>
      <xdr:row>164</xdr:row>
      <xdr:rowOff>129540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CCAE4E73-D7F8-4960-9794-B4EF3800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5</xdr:col>
      <xdr:colOff>60960</xdr:colOff>
      <xdr:row>164</xdr:row>
      <xdr:rowOff>129540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96DFDEDE-A5FF-4F07-A312-5555BA9E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68580</xdr:colOff>
      <xdr:row>164</xdr:row>
      <xdr:rowOff>129540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ADD52BD0-0D8C-43B1-B247-0041A2714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68580</xdr:colOff>
      <xdr:row>164</xdr:row>
      <xdr:rowOff>129540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FC08B12A-8C08-4207-A923-5273035C2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60960</xdr:colOff>
      <xdr:row>164</xdr:row>
      <xdr:rowOff>129540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F4C5266D-30DC-4512-9680-735409589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164</xdr:row>
      <xdr:rowOff>0</xdr:rowOff>
    </xdr:from>
    <xdr:to>
      <xdr:col>9</xdr:col>
      <xdr:colOff>68580</xdr:colOff>
      <xdr:row>164</xdr:row>
      <xdr:rowOff>129540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F89157A1-BB94-4714-AB3D-A70BDE60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164</xdr:row>
      <xdr:rowOff>0</xdr:rowOff>
    </xdr:from>
    <xdr:to>
      <xdr:col>10</xdr:col>
      <xdr:colOff>68580</xdr:colOff>
      <xdr:row>164</xdr:row>
      <xdr:rowOff>129540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131E9E1-C120-4974-9B95-C29AD320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164</xdr:row>
      <xdr:rowOff>0</xdr:rowOff>
    </xdr:from>
    <xdr:to>
      <xdr:col>11</xdr:col>
      <xdr:colOff>60960</xdr:colOff>
      <xdr:row>164</xdr:row>
      <xdr:rowOff>129540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FFB01726-E856-46D1-8948-09611F8A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164</xdr:row>
      <xdr:rowOff>0</xdr:rowOff>
    </xdr:from>
    <xdr:to>
      <xdr:col>12</xdr:col>
      <xdr:colOff>68580</xdr:colOff>
      <xdr:row>164</xdr:row>
      <xdr:rowOff>129540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7A4DCC3-071C-421C-958A-0CFC7883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164</xdr:row>
      <xdr:rowOff>0</xdr:rowOff>
    </xdr:from>
    <xdr:to>
      <xdr:col>13</xdr:col>
      <xdr:colOff>68580</xdr:colOff>
      <xdr:row>164</xdr:row>
      <xdr:rowOff>129540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F4011DF-66B9-4CDC-A6EB-8229838A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60960</xdr:colOff>
      <xdr:row>164</xdr:row>
      <xdr:rowOff>129540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5237720C-65FE-458E-AEC5-01FA2C76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164</xdr:row>
      <xdr:rowOff>0</xdr:rowOff>
    </xdr:from>
    <xdr:to>
      <xdr:col>15</xdr:col>
      <xdr:colOff>68580</xdr:colOff>
      <xdr:row>164</xdr:row>
      <xdr:rowOff>129540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659E2868-BF49-471D-A3A5-A1FD7ADAD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164</xdr:row>
      <xdr:rowOff>0</xdr:rowOff>
    </xdr:from>
    <xdr:to>
      <xdr:col>16</xdr:col>
      <xdr:colOff>68580</xdr:colOff>
      <xdr:row>164</xdr:row>
      <xdr:rowOff>129540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7403EB98-6970-4D4F-83ED-14B306EC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60960</xdr:colOff>
      <xdr:row>169</xdr:row>
      <xdr:rowOff>129540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E73DE346-6DEC-4D4E-8A01-5CD493AA6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169</xdr:row>
      <xdr:rowOff>0</xdr:rowOff>
    </xdr:from>
    <xdr:to>
      <xdr:col>3</xdr:col>
      <xdr:colOff>68580</xdr:colOff>
      <xdr:row>169</xdr:row>
      <xdr:rowOff>129540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2468998-3135-428E-8D9B-BFBFA468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169</xdr:row>
      <xdr:rowOff>0</xdr:rowOff>
    </xdr:from>
    <xdr:to>
      <xdr:col>4</xdr:col>
      <xdr:colOff>68580</xdr:colOff>
      <xdr:row>169</xdr:row>
      <xdr:rowOff>129540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50667768-8C56-4147-9B0A-509DFFCBD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5</xdr:col>
      <xdr:colOff>60960</xdr:colOff>
      <xdr:row>169</xdr:row>
      <xdr:rowOff>129540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CE6EAC7E-3B6B-4C8D-A097-F58353F7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68580</xdr:colOff>
      <xdr:row>169</xdr:row>
      <xdr:rowOff>129540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AA1752D5-A18B-4ED8-8C1E-B2FABE9C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68580</xdr:colOff>
      <xdr:row>169</xdr:row>
      <xdr:rowOff>129540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48E98FD7-F852-49F2-92E0-FC7F9922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60960</xdr:colOff>
      <xdr:row>169</xdr:row>
      <xdr:rowOff>129540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D706B974-DEC4-47C0-904B-B2A9503B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68580</xdr:colOff>
      <xdr:row>169</xdr:row>
      <xdr:rowOff>129540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41E6A35-E6E5-4FF3-9CDD-6EC63731E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169</xdr:row>
      <xdr:rowOff>0</xdr:rowOff>
    </xdr:from>
    <xdr:to>
      <xdr:col>10</xdr:col>
      <xdr:colOff>68580</xdr:colOff>
      <xdr:row>169</xdr:row>
      <xdr:rowOff>129540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25263E9C-98BB-418E-BE88-9F0871BA2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169</xdr:row>
      <xdr:rowOff>0</xdr:rowOff>
    </xdr:from>
    <xdr:to>
      <xdr:col>11</xdr:col>
      <xdr:colOff>60960</xdr:colOff>
      <xdr:row>169</xdr:row>
      <xdr:rowOff>129540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FADC8597-E921-4662-9702-F34C01B9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169</xdr:row>
      <xdr:rowOff>0</xdr:rowOff>
    </xdr:from>
    <xdr:to>
      <xdr:col>12</xdr:col>
      <xdr:colOff>68580</xdr:colOff>
      <xdr:row>169</xdr:row>
      <xdr:rowOff>129540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EE7A1634-E8AD-44B0-B72D-F34FBF90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169</xdr:row>
      <xdr:rowOff>0</xdr:rowOff>
    </xdr:from>
    <xdr:to>
      <xdr:col>13</xdr:col>
      <xdr:colOff>68580</xdr:colOff>
      <xdr:row>169</xdr:row>
      <xdr:rowOff>129540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2A48EFA-29FF-473F-B6C2-AE902A5A2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60960</xdr:colOff>
      <xdr:row>169</xdr:row>
      <xdr:rowOff>129540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D9B8E336-62B8-4BD2-B2D0-04ECE8BA1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169</xdr:row>
      <xdr:rowOff>0</xdr:rowOff>
    </xdr:from>
    <xdr:to>
      <xdr:col>15</xdr:col>
      <xdr:colOff>68580</xdr:colOff>
      <xdr:row>169</xdr:row>
      <xdr:rowOff>129540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74CF1A9A-1007-432A-A258-A25F5D919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169</xdr:row>
      <xdr:rowOff>0</xdr:rowOff>
    </xdr:from>
    <xdr:to>
      <xdr:col>16</xdr:col>
      <xdr:colOff>68580</xdr:colOff>
      <xdr:row>169</xdr:row>
      <xdr:rowOff>129540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6C8AF88-0786-4E78-9C9C-8F4858A4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60960</xdr:colOff>
      <xdr:row>174</xdr:row>
      <xdr:rowOff>129540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981BAD09-0128-4D7C-87AD-BA14DC52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174</xdr:row>
      <xdr:rowOff>0</xdr:rowOff>
    </xdr:from>
    <xdr:to>
      <xdr:col>3</xdr:col>
      <xdr:colOff>68580</xdr:colOff>
      <xdr:row>174</xdr:row>
      <xdr:rowOff>129540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6C0CC33E-0925-46F4-9CD5-FDEDFCAE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68580</xdr:colOff>
      <xdr:row>174</xdr:row>
      <xdr:rowOff>129540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8711F17-C3BF-44D7-8875-83F486BB6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5</xdr:col>
      <xdr:colOff>60960</xdr:colOff>
      <xdr:row>174</xdr:row>
      <xdr:rowOff>129540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CA3BD252-5916-4DEF-8DCD-F70B7DF5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68580</xdr:colOff>
      <xdr:row>174</xdr:row>
      <xdr:rowOff>129540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6857AE5D-E66B-4CE6-AA5D-1CA2E906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68580</xdr:colOff>
      <xdr:row>174</xdr:row>
      <xdr:rowOff>129540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14B574C5-5001-47F6-AFB5-19E391B2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60960</xdr:colOff>
      <xdr:row>174</xdr:row>
      <xdr:rowOff>129540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737F03E3-026F-4EE0-8364-A5A33191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68580</xdr:colOff>
      <xdr:row>174</xdr:row>
      <xdr:rowOff>129540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2B644493-F6DC-4C55-8662-DE039704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68580</xdr:colOff>
      <xdr:row>174</xdr:row>
      <xdr:rowOff>129540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911C8374-3828-44D7-8684-AD081354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174</xdr:row>
      <xdr:rowOff>0</xdr:rowOff>
    </xdr:from>
    <xdr:to>
      <xdr:col>11</xdr:col>
      <xdr:colOff>60960</xdr:colOff>
      <xdr:row>174</xdr:row>
      <xdr:rowOff>129540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912CAB8-632C-4A58-8191-9F077AD2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68580</xdr:colOff>
      <xdr:row>174</xdr:row>
      <xdr:rowOff>129540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71F51CC-FF07-4621-AB33-506462265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174</xdr:row>
      <xdr:rowOff>0</xdr:rowOff>
    </xdr:from>
    <xdr:to>
      <xdr:col>13</xdr:col>
      <xdr:colOff>68580</xdr:colOff>
      <xdr:row>174</xdr:row>
      <xdr:rowOff>129540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C1A7477A-9CA4-4B73-BDAB-255C2EBD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60960</xdr:colOff>
      <xdr:row>174</xdr:row>
      <xdr:rowOff>129540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381BD827-BC68-4F5E-9225-3745D63B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174</xdr:row>
      <xdr:rowOff>0</xdr:rowOff>
    </xdr:from>
    <xdr:to>
      <xdr:col>15</xdr:col>
      <xdr:colOff>68580</xdr:colOff>
      <xdr:row>174</xdr:row>
      <xdr:rowOff>129540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1779D665-9ADF-4B86-BCD3-C1511F90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68580</xdr:colOff>
      <xdr:row>174</xdr:row>
      <xdr:rowOff>129540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CB795CDC-1416-466A-B438-568F094B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60960</xdr:colOff>
      <xdr:row>179</xdr:row>
      <xdr:rowOff>129540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9E346A5A-47C6-4AFA-8FBE-CB80DDFC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179</xdr:row>
      <xdr:rowOff>0</xdr:rowOff>
    </xdr:from>
    <xdr:to>
      <xdr:col>3</xdr:col>
      <xdr:colOff>68580</xdr:colOff>
      <xdr:row>179</xdr:row>
      <xdr:rowOff>129540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E658038C-32C8-40B3-ACFA-B488F1EC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68580</xdr:colOff>
      <xdr:row>179</xdr:row>
      <xdr:rowOff>129540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C2DBC4B3-63AA-47CE-A381-507F74FF6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60960</xdr:colOff>
      <xdr:row>179</xdr:row>
      <xdr:rowOff>129540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C1F56437-AE3C-4F1A-B880-E1A6614ED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68580</xdr:colOff>
      <xdr:row>179</xdr:row>
      <xdr:rowOff>129540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51A8A9D7-64FF-4F18-9D3F-DF218C574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68580</xdr:colOff>
      <xdr:row>179</xdr:row>
      <xdr:rowOff>129540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D730F05C-5080-49EA-A464-4DBD7316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60960</xdr:colOff>
      <xdr:row>179</xdr:row>
      <xdr:rowOff>129540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2797133C-23FE-48D1-98E0-1596E0B1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9</xdr:col>
      <xdr:colOff>68580</xdr:colOff>
      <xdr:row>179</xdr:row>
      <xdr:rowOff>129540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1C1536FD-170C-4FD0-A057-96C95F4C8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179</xdr:row>
      <xdr:rowOff>0</xdr:rowOff>
    </xdr:from>
    <xdr:to>
      <xdr:col>10</xdr:col>
      <xdr:colOff>68580</xdr:colOff>
      <xdr:row>179</xdr:row>
      <xdr:rowOff>129540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F6BA8D09-2E33-4CA7-BBC3-7B0A88992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179</xdr:row>
      <xdr:rowOff>0</xdr:rowOff>
    </xdr:from>
    <xdr:to>
      <xdr:col>11</xdr:col>
      <xdr:colOff>60960</xdr:colOff>
      <xdr:row>179</xdr:row>
      <xdr:rowOff>129540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B255A6A5-12E7-4539-8CB9-38D183D0C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68580</xdr:colOff>
      <xdr:row>179</xdr:row>
      <xdr:rowOff>129540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F084E169-0F31-4BD6-92EB-F0B6C2EB6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179</xdr:row>
      <xdr:rowOff>0</xdr:rowOff>
    </xdr:from>
    <xdr:to>
      <xdr:col>13</xdr:col>
      <xdr:colOff>68580</xdr:colOff>
      <xdr:row>179</xdr:row>
      <xdr:rowOff>129540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E33EDC8E-9CDF-47D2-ADAB-BA062C9A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60960</xdr:colOff>
      <xdr:row>179</xdr:row>
      <xdr:rowOff>129540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2FE6FCB5-183D-4F83-8F75-F3A366905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179</xdr:row>
      <xdr:rowOff>0</xdr:rowOff>
    </xdr:from>
    <xdr:to>
      <xdr:col>15</xdr:col>
      <xdr:colOff>68580</xdr:colOff>
      <xdr:row>179</xdr:row>
      <xdr:rowOff>129540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B2B9C2D1-AAD3-4953-9740-4EA5EA89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68580</xdr:colOff>
      <xdr:row>179</xdr:row>
      <xdr:rowOff>129540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6A7DFF56-7C45-4D53-AD44-0A45F9A5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60960</xdr:colOff>
      <xdr:row>184</xdr:row>
      <xdr:rowOff>129540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EFCA8A03-75DA-4318-8CC9-D62720D7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184</xdr:row>
      <xdr:rowOff>0</xdr:rowOff>
    </xdr:from>
    <xdr:to>
      <xdr:col>3</xdr:col>
      <xdr:colOff>68580</xdr:colOff>
      <xdr:row>184</xdr:row>
      <xdr:rowOff>129540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3A49D16C-DF58-4EB1-AB51-8A797AC53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68580</xdr:colOff>
      <xdr:row>184</xdr:row>
      <xdr:rowOff>129540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FA1BF84F-BC8B-4DF4-A050-C8FFD1BD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60960</xdr:colOff>
      <xdr:row>184</xdr:row>
      <xdr:rowOff>129540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C842B4FD-0F11-46C2-993F-5FA707CA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68580</xdr:colOff>
      <xdr:row>184</xdr:row>
      <xdr:rowOff>129540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CBFC026-87E7-418B-B868-F65E3C2E3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68580</xdr:colOff>
      <xdr:row>184</xdr:row>
      <xdr:rowOff>129540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89E4D4D-7C2F-4DC7-8C4E-21650F91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60960</xdr:colOff>
      <xdr:row>184</xdr:row>
      <xdr:rowOff>129540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A80D22C0-0982-43D7-8A5B-94F63F5EC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184</xdr:row>
      <xdr:rowOff>0</xdr:rowOff>
    </xdr:from>
    <xdr:to>
      <xdr:col>9</xdr:col>
      <xdr:colOff>68580</xdr:colOff>
      <xdr:row>184</xdr:row>
      <xdr:rowOff>129540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9778F1F0-4D2C-46FC-83D7-AC4D1A8F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68580</xdr:colOff>
      <xdr:row>184</xdr:row>
      <xdr:rowOff>129540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1ED31C0A-7A8D-4901-B20D-BADE65A9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184</xdr:row>
      <xdr:rowOff>0</xdr:rowOff>
    </xdr:from>
    <xdr:to>
      <xdr:col>11</xdr:col>
      <xdr:colOff>60960</xdr:colOff>
      <xdr:row>184</xdr:row>
      <xdr:rowOff>129540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16DD614A-7DC2-4754-88A8-0E176E18E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68580</xdr:colOff>
      <xdr:row>184</xdr:row>
      <xdr:rowOff>129540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A5BB61F7-9CED-4C32-A24F-014D30D2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184</xdr:row>
      <xdr:rowOff>0</xdr:rowOff>
    </xdr:from>
    <xdr:to>
      <xdr:col>13</xdr:col>
      <xdr:colOff>68580</xdr:colOff>
      <xdr:row>184</xdr:row>
      <xdr:rowOff>129540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6BB35F75-7E94-423A-993B-0364AD38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60960</xdr:colOff>
      <xdr:row>184</xdr:row>
      <xdr:rowOff>129540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BCA10DCB-0155-4529-91E3-93AB5AB1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184</xdr:row>
      <xdr:rowOff>0</xdr:rowOff>
    </xdr:from>
    <xdr:to>
      <xdr:col>15</xdr:col>
      <xdr:colOff>68580</xdr:colOff>
      <xdr:row>184</xdr:row>
      <xdr:rowOff>129540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2BD7A4A4-D2EB-478E-A536-87A745EF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68580</xdr:colOff>
      <xdr:row>184</xdr:row>
      <xdr:rowOff>129540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77027FB0-67EB-4367-9C93-08F367F4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2</xdr:col>
      <xdr:colOff>60960</xdr:colOff>
      <xdr:row>189</xdr:row>
      <xdr:rowOff>129540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57667235-F3D3-44A2-AC5E-CDDBFFDA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189</xdr:row>
      <xdr:rowOff>0</xdr:rowOff>
    </xdr:from>
    <xdr:to>
      <xdr:col>3</xdr:col>
      <xdr:colOff>68580</xdr:colOff>
      <xdr:row>189</xdr:row>
      <xdr:rowOff>129540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95A68A6E-D477-4376-B7A5-D54547FD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189</xdr:row>
      <xdr:rowOff>0</xdr:rowOff>
    </xdr:from>
    <xdr:to>
      <xdr:col>4</xdr:col>
      <xdr:colOff>68580</xdr:colOff>
      <xdr:row>189</xdr:row>
      <xdr:rowOff>129540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B1E2CF3B-8088-40B1-AA43-4531EB6C2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5</xdr:col>
      <xdr:colOff>60960</xdr:colOff>
      <xdr:row>189</xdr:row>
      <xdr:rowOff>129540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50C7BB5B-AE1E-492C-A403-A709501C3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6</xdr:col>
      <xdr:colOff>68580</xdr:colOff>
      <xdr:row>189</xdr:row>
      <xdr:rowOff>129540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42F70A7B-18D0-4583-B2CB-13CC38D2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68580</xdr:colOff>
      <xdr:row>189</xdr:row>
      <xdr:rowOff>129540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78231FF0-3EA9-492D-90EA-BB942468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60960</xdr:colOff>
      <xdr:row>189</xdr:row>
      <xdr:rowOff>129540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27AEF9E4-230E-43DB-9DC7-3F5B1825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68580</xdr:colOff>
      <xdr:row>189</xdr:row>
      <xdr:rowOff>129540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810140AB-7CC9-4A4B-863E-BC671FF0E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189</xdr:row>
      <xdr:rowOff>0</xdr:rowOff>
    </xdr:from>
    <xdr:to>
      <xdr:col>10</xdr:col>
      <xdr:colOff>68580</xdr:colOff>
      <xdr:row>189</xdr:row>
      <xdr:rowOff>129540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1A5DB098-6127-4A9C-A93B-91AAAC9B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189</xdr:row>
      <xdr:rowOff>0</xdr:rowOff>
    </xdr:from>
    <xdr:to>
      <xdr:col>11</xdr:col>
      <xdr:colOff>60960</xdr:colOff>
      <xdr:row>189</xdr:row>
      <xdr:rowOff>129540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4DFF6086-C953-4CDB-89CF-6A7BDA626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189</xdr:row>
      <xdr:rowOff>0</xdr:rowOff>
    </xdr:from>
    <xdr:to>
      <xdr:col>12</xdr:col>
      <xdr:colOff>68580</xdr:colOff>
      <xdr:row>189</xdr:row>
      <xdr:rowOff>129540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B7557AA0-0C73-46F1-A011-CC52F71A3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189</xdr:row>
      <xdr:rowOff>0</xdr:rowOff>
    </xdr:from>
    <xdr:to>
      <xdr:col>13</xdr:col>
      <xdr:colOff>68580</xdr:colOff>
      <xdr:row>189</xdr:row>
      <xdr:rowOff>129540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A3CEC603-8BF6-4E4E-81E7-11354FF46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60960</xdr:colOff>
      <xdr:row>189</xdr:row>
      <xdr:rowOff>129540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D17ED5E0-95B1-4290-9843-EEA08E25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189</xdr:row>
      <xdr:rowOff>0</xdr:rowOff>
    </xdr:from>
    <xdr:to>
      <xdr:col>15</xdr:col>
      <xdr:colOff>68580</xdr:colOff>
      <xdr:row>189</xdr:row>
      <xdr:rowOff>129540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F7C0FDEA-4A4E-462A-BBA4-24D09C70B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189</xdr:row>
      <xdr:rowOff>0</xdr:rowOff>
    </xdr:from>
    <xdr:to>
      <xdr:col>16</xdr:col>
      <xdr:colOff>68580</xdr:colOff>
      <xdr:row>189</xdr:row>
      <xdr:rowOff>129540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FB91C33F-E970-4C06-AAB8-EDEC2B103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2</xdr:col>
      <xdr:colOff>60960</xdr:colOff>
      <xdr:row>194</xdr:row>
      <xdr:rowOff>129540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DAD0C779-CF8A-4E71-AA47-1D7CAEFD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194</xdr:row>
      <xdr:rowOff>0</xdr:rowOff>
    </xdr:from>
    <xdr:to>
      <xdr:col>3</xdr:col>
      <xdr:colOff>68580</xdr:colOff>
      <xdr:row>194</xdr:row>
      <xdr:rowOff>129540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188C99BB-3C54-451C-A959-64A71B35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194</xdr:row>
      <xdr:rowOff>0</xdr:rowOff>
    </xdr:from>
    <xdr:to>
      <xdr:col>4</xdr:col>
      <xdr:colOff>68580</xdr:colOff>
      <xdr:row>194</xdr:row>
      <xdr:rowOff>129540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6C081CD5-5429-4939-A2EB-9BE5CA07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194</xdr:row>
      <xdr:rowOff>0</xdr:rowOff>
    </xdr:from>
    <xdr:to>
      <xdr:col>5</xdr:col>
      <xdr:colOff>60960</xdr:colOff>
      <xdr:row>194</xdr:row>
      <xdr:rowOff>129540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79DE2CE4-8BDC-480C-A756-037A020F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194</xdr:row>
      <xdr:rowOff>0</xdr:rowOff>
    </xdr:from>
    <xdr:to>
      <xdr:col>6</xdr:col>
      <xdr:colOff>68580</xdr:colOff>
      <xdr:row>194</xdr:row>
      <xdr:rowOff>129540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7FB355EE-8A8D-4573-BC65-DBEB3A2A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68580</xdr:colOff>
      <xdr:row>194</xdr:row>
      <xdr:rowOff>129540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C67BED8D-0B75-4949-8312-C9A4951E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60960</xdr:colOff>
      <xdr:row>194</xdr:row>
      <xdr:rowOff>129540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43DCAFFB-6F65-46EF-A73B-1A910F18C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194</xdr:row>
      <xdr:rowOff>0</xdr:rowOff>
    </xdr:from>
    <xdr:to>
      <xdr:col>9</xdr:col>
      <xdr:colOff>68580</xdr:colOff>
      <xdr:row>194</xdr:row>
      <xdr:rowOff>129540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643700D-BAA9-4B68-9750-2F58694A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194</xdr:row>
      <xdr:rowOff>0</xdr:rowOff>
    </xdr:from>
    <xdr:to>
      <xdr:col>10</xdr:col>
      <xdr:colOff>68580</xdr:colOff>
      <xdr:row>194</xdr:row>
      <xdr:rowOff>129540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35372B08-DD2D-4C51-AFB3-BBFB3A70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194</xdr:row>
      <xdr:rowOff>0</xdr:rowOff>
    </xdr:from>
    <xdr:to>
      <xdr:col>11</xdr:col>
      <xdr:colOff>60960</xdr:colOff>
      <xdr:row>194</xdr:row>
      <xdr:rowOff>129540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D1D6A9CE-324A-4915-9837-F9BA4398E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194</xdr:row>
      <xdr:rowOff>0</xdr:rowOff>
    </xdr:from>
    <xdr:to>
      <xdr:col>12</xdr:col>
      <xdr:colOff>68580</xdr:colOff>
      <xdr:row>194</xdr:row>
      <xdr:rowOff>129540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AD291BC4-8A10-4500-8E16-E11F57C8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194</xdr:row>
      <xdr:rowOff>0</xdr:rowOff>
    </xdr:from>
    <xdr:to>
      <xdr:col>13</xdr:col>
      <xdr:colOff>68580</xdr:colOff>
      <xdr:row>194</xdr:row>
      <xdr:rowOff>129540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585F7F74-F131-4F34-A287-7160A9AB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60960</xdr:colOff>
      <xdr:row>194</xdr:row>
      <xdr:rowOff>129540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3181673D-873E-4474-BE94-F9A012278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194</xdr:row>
      <xdr:rowOff>0</xdr:rowOff>
    </xdr:from>
    <xdr:to>
      <xdr:col>15</xdr:col>
      <xdr:colOff>68580</xdr:colOff>
      <xdr:row>194</xdr:row>
      <xdr:rowOff>129540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C7D6BC7B-42FE-4140-9B2A-FBED92CF0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194</xdr:row>
      <xdr:rowOff>0</xdr:rowOff>
    </xdr:from>
    <xdr:to>
      <xdr:col>16</xdr:col>
      <xdr:colOff>68580</xdr:colOff>
      <xdr:row>194</xdr:row>
      <xdr:rowOff>129540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818538-9533-4D12-84A2-28AFCFBD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2</xdr:col>
      <xdr:colOff>60960</xdr:colOff>
      <xdr:row>199</xdr:row>
      <xdr:rowOff>129540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16215496-AF69-43FC-BCFB-B60682DC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199</xdr:row>
      <xdr:rowOff>0</xdr:rowOff>
    </xdr:from>
    <xdr:to>
      <xdr:col>3</xdr:col>
      <xdr:colOff>68580</xdr:colOff>
      <xdr:row>199</xdr:row>
      <xdr:rowOff>129540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940BCC65-2158-44BE-9603-E5397F478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199</xdr:row>
      <xdr:rowOff>0</xdr:rowOff>
    </xdr:from>
    <xdr:to>
      <xdr:col>4</xdr:col>
      <xdr:colOff>68580</xdr:colOff>
      <xdr:row>199</xdr:row>
      <xdr:rowOff>129540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1F3611B5-C9C7-41AE-AE2A-BD66EFAB8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199</xdr:row>
      <xdr:rowOff>0</xdr:rowOff>
    </xdr:from>
    <xdr:to>
      <xdr:col>5</xdr:col>
      <xdr:colOff>60960</xdr:colOff>
      <xdr:row>199</xdr:row>
      <xdr:rowOff>129540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43ADF060-E373-432C-9CD6-923818C88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199</xdr:row>
      <xdr:rowOff>0</xdr:rowOff>
    </xdr:from>
    <xdr:to>
      <xdr:col>6</xdr:col>
      <xdr:colOff>68580</xdr:colOff>
      <xdr:row>199</xdr:row>
      <xdr:rowOff>129540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26512079-C6A8-415D-864C-F1958A46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68580</xdr:colOff>
      <xdr:row>199</xdr:row>
      <xdr:rowOff>129540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F7FE591C-1D72-4580-9209-B28E214E2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60960</xdr:colOff>
      <xdr:row>199</xdr:row>
      <xdr:rowOff>129540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E344B645-4A54-47CD-A008-4D66DACD3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9</xdr:col>
      <xdr:colOff>68580</xdr:colOff>
      <xdr:row>199</xdr:row>
      <xdr:rowOff>129540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33139324-4FF3-4C02-94AA-3B3487BFE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199</xdr:row>
      <xdr:rowOff>0</xdr:rowOff>
    </xdr:from>
    <xdr:to>
      <xdr:col>10</xdr:col>
      <xdr:colOff>68580</xdr:colOff>
      <xdr:row>199</xdr:row>
      <xdr:rowOff>129540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EEEC3C98-EF12-4CB5-B462-993BC920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199</xdr:row>
      <xdr:rowOff>0</xdr:rowOff>
    </xdr:from>
    <xdr:to>
      <xdr:col>11</xdr:col>
      <xdr:colOff>60960</xdr:colOff>
      <xdr:row>199</xdr:row>
      <xdr:rowOff>129540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B3A971A-6D9D-4ED8-9E2E-FD33D2A55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199</xdr:row>
      <xdr:rowOff>0</xdr:rowOff>
    </xdr:from>
    <xdr:to>
      <xdr:col>12</xdr:col>
      <xdr:colOff>68580</xdr:colOff>
      <xdr:row>199</xdr:row>
      <xdr:rowOff>129540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2B15E028-49D5-4B03-AC70-5FB289BE5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199</xdr:row>
      <xdr:rowOff>0</xdr:rowOff>
    </xdr:from>
    <xdr:to>
      <xdr:col>13</xdr:col>
      <xdr:colOff>68580</xdr:colOff>
      <xdr:row>199</xdr:row>
      <xdr:rowOff>129540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706F6D6D-61DE-4C0C-A83A-5C5F364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60960</xdr:colOff>
      <xdr:row>199</xdr:row>
      <xdr:rowOff>129540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D24452F9-9E87-4BCA-91C4-6EEA4EC2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199</xdr:row>
      <xdr:rowOff>0</xdr:rowOff>
    </xdr:from>
    <xdr:to>
      <xdr:col>15</xdr:col>
      <xdr:colOff>68580</xdr:colOff>
      <xdr:row>199</xdr:row>
      <xdr:rowOff>129540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EF6B8550-012F-420F-A351-2CA28843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68580</xdr:colOff>
      <xdr:row>199</xdr:row>
      <xdr:rowOff>129540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761A681-251C-4C9C-AEBC-367B0F81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2</xdr:col>
      <xdr:colOff>60960</xdr:colOff>
      <xdr:row>204</xdr:row>
      <xdr:rowOff>129540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A1EF23CF-0128-4A16-861B-C21B1938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204</xdr:row>
      <xdr:rowOff>0</xdr:rowOff>
    </xdr:from>
    <xdr:to>
      <xdr:col>3</xdr:col>
      <xdr:colOff>68580</xdr:colOff>
      <xdr:row>204</xdr:row>
      <xdr:rowOff>129540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DCFAC429-64D8-4652-846B-429EE51A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204</xdr:row>
      <xdr:rowOff>0</xdr:rowOff>
    </xdr:from>
    <xdr:to>
      <xdr:col>4</xdr:col>
      <xdr:colOff>68580</xdr:colOff>
      <xdr:row>204</xdr:row>
      <xdr:rowOff>129540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AD12EA6F-974B-4D55-9F3A-D06F84B5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60960</xdr:colOff>
      <xdr:row>204</xdr:row>
      <xdr:rowOff>129540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C034A47B-C41D-4D19-B987-517C26E5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204</xdr:row>
      <xdr:rowOff>0</xdr:rowOff>
    </xdr:from>
    <xdr:to>
      <xdr:col>6</xdr:col>
      <xdr:colOff>68580</xdr:colOff>
      <xdr:row>204</xdr:row>
      <xdr:rowOff>129540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56883812-F6CE-4D59-B56F-6F189358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68580</xdr:colOff>
      <xdr:row>204</xdr:row>
      <xdr:rowOff>129540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33E37C87-9BFD-4176-BFAE-680C3222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60960</xdr:colOff>
      <xdr:row>204</xdr:row>
      <xdr:rowOff>129540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DA195D35-F81C-42A7-9AF5-2BC363C6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204</xdr:row>
      <xdr:rowOff>0</xdr:rowOff>
    </xdr:from>
    <xdr:to>
      <xdr:col>9</xdr:col>
      <xdr:colOff>68580</xdr:colOff>
      <xdr:row>204</xdr:row>
      <xdr:rowOff>129540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B296DB3C-7945-489F-9EE1-3AA569D1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204</xdr:row>
      <xdr:rowOff>0</xdr:rowOff>
    </xdr:from>
    <xdr:to>
      <xdr:col>10</xdr:col>
      <xdr:colOff>68580</xdr:colOff>
      <xdr:row>204</xdr:row>
      <xdr:rowOff>129540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F19ACA5E-C35A-483F-9EBC-EE6827B58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204</xdr:row>
      <xdr:rowOff>0</xdr:rowOff>
    </xdr:from>
    <xdr:to>
      <xdr:col>11</xdr:col>
      <xdr:colOff>60960</xdr:colOff>
      <xdr:row>204</xdr:row>
      <xdr:rowOff>129540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392EC21F-6CE8-4C1D-8CF3-81D1C5404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204</xdr:row>
      <xdr:rowOff>0</xdr:rowOff>
    </xdr:from>
    <xdr:to>
      <xdr:col>12</xdr:col>
      <xdr:colOff>68580</xdr:colOff>
      <xdr:row>204</xdr:row>
      <xdr:rowOff>129540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34AF91E9-ED0C-460F-88E2-FBC6A322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204</xdr:row>
      <xdr:rowOff>0</xdr:rowOff>
    </xdr:from>
    <xdr:to>
      <xdr:col>13</xdr:col>
      <xdr:colOff>68580</xdr:colOff>
      <xdr:row>204</xdr:row>
      <xdr:rowOff>129540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63D42CC6-2A24-49A1-A88B-EEE28583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60960</xdr:colOff>
      <xdr:row>204</xdr:row>
      <xdr:rowOff>129540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94E153F2-D7A1-4E00-A47C-2F9B430A3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204</xdr:row>
      <xdr:rowOff>0</xdr:rowOff>
    </xdr:from>
    <xdr:to>
      <xdr:col>15</xdr:col>
      <xdr:colOff>68580</xdr:colOff>
      <xdr:row>204</xdr:row>
      <xdr:rowOff>129540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47CC886B-5371-4AA9-928C-CD19D756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204</xdr:row>
      <xdr:rowOff>0</xdr:rowOff>
    </xdr:from>
    <xdr:to>
      <xdr:col>16</xdr:col>
      <xdr:colOff>68580</xdr:colOff>
      <xdr:row>204</xdr:row>
      <xdr:rowOff>129540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ADCA4E5D-B7C3-4FA6-BD89-D37C0F848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2</xdr:col>
      <xdr:colOff>60960</xdr:colOff>
      <xdr:row>209</xdr:row>
      <xdr:rowOff>129540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D578789A-28C3-4786-A084-05DEC13E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209</xdr:row>
      <xdr:rowOff>0</xdr:rowOff>
    </xdr:from>
    <xdr:to>
      <xdr:col>3</xdr:col>
      <xdr:colOff>68580</xdr:colOff>
      <xdr:row>209</xdr:row>
      <xdr:rowOff>129540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C5EE8932-12D0-4315-8961-56D702E43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209</xdr:row>
      <xdr:rowOff>0</xdr:rowOff>
    </xdr:from>
    <xdr:to>
      <xdr:col>4</xdr:col>
      <xdr:colOff>68580</xdr:colOff>
      <xdr:row>209</xdr:row>
      <xdr:rowOff>129540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23537FBA-B592-4C9F-BABE-240EB8F3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209</xdr:row>
      <xdr:rowOff>0</xdr:rowOff>
    </xdr:from>
    <xdr:to>
      <xdr:col>5</xdr:col>
      <xdr:colOff>60960</xdr:colOff>
      <xdr:row>209</xdr:row>
      <xdr:rowOff>129540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1A3EFF6E-4780-44CC-9C0F-40D9E3E22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68580</xdr:colOff>
      <xdr:row>209</xdr:row>
      <xdr:rowOff>129540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A2A6689-D926-45B8-834B-71C08480E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68580</xdr:colOff>
      <xdr:row>209</xdr:row>
      <xdr:rowOff>129540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8D8D6BF5-1BBD-4005-947F-3F0B15C5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60960</xdr:colOff>
      <xdr:row>209</xdr:row>
      <xdr:rowOff>129540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EB3ADA67-EA6F-4FB5-A6E2-15C614A8E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209</xdr:row>
      <xdr:rowOff>0</xdr:rowOff>
    </xdr:from>
    <xdr:to>
      <xdr:col>9</xdr:col>
      <xdr:colOff>68580</xdr:colOff>
      <xdr:row>209</xdr:row>
      <xdr:rowOff>129540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A8293320-C4CF-4B8F-A735-92A9CA99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209</xdr:row>
      <xdr:rowOff>0</xdr:rowOff>
    </xdr:from>
    <xdr:to>
      <xdr:col>10</xdr:col>
      <xdr:colOff>68580</xdr:colOff>
      <xdr:row>209</xdr:row>
      <xdr:rowOff>129540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DFBD8CE8-D8E0-4404-969E-49D7B6C8F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209</xdr:row>
      <xdr:rowOff>0</xdr:rowOff>
    </xdr:from>
    <xdr:to>
      <xdr:col>11</xdr:col>
      <xdr:colOff>60960</xdr:colOff>
      <xdr:row>209</xdr:row>
      <xdr:rowOff>129540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F6A1E73D-96BC-430D-96DC-968BD1AB3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209</xdr:row>
      <xdr:rowOff>0</xdr:rowOff>
    </xdr:from>
    <xdr:to>
      <xdr:col>12</xdr:col>
      <xdr:colOff>68580</xdr:colOff>
      <xdr:row>209</xdr:row>
      <xdr:rowOff>129540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4E4FC14A-F231-4477-B221-CDFE80ABA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209</xdr:row>
      <xdr:rowOff>0</xdr:rowOff>
    </xdr:from>
    <xdr:to>
      <xdr:col>13</xdr:col>
      <xdr:colOff>68580</xdr:colOff>
      <xdr:row>209</xdr:row>
      <xdr:rowOff>129540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C04CA3B8-9941-41FA-98C5-873DA1113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60960</xdr:colOff>
      <xdr:row>209</xdr:row>
      <xdr:rowOff>129540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4FBEE39A-CAC9-4DBA-9E6F-E7726470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7946195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209</xdr:row>
      <xdr:rowOff>0</xdr:rowOff>
    </xdr:from>
    <xdr:to>
      <xdr:col>15</xdr:col>
      <xdr:colOff>68580</xdr:colOff>
      <xdr:row>209</xdr:row>
      <xdr:rowOff>129540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665784B1-15DD-4E20-9278-9A81FA7D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68580</xdr:colOff>
      <xdr:row>209</xdr:row>
      <xdr:rowOff>129540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6FFE70C1-27BF-4AB0-A1FF-249985EB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7946195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2</xdr:col>
      <xdr:colOff>60960</xdr:colOff>
      <xdr:row>214</xdr:row>
      <xdr:rowOff>129540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A45096B5-0924-43E7-AF22-B497E88E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214</xdr:row>
      <xdr:rowOff>0</xdr:rowOff>
    </xdr:from>
    <xdr:to>
      <xdr:col>3</xdr:col>
      <xdr:colOff>68580</xdr:colOff>
      <xdr:row>214</xdr:row>
      <xdr:rowOff>129540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9AA6B5B7-1DF7-481D-86B9-B078D431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68580</xdr:colOff>
      <xdr:row>214</xdr:row>
      <xdr:rowOff>129540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F805251A-3971-4930-94D9-315305E4D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214</xdr:row>
      <xdr:rowOff>0</xdr:rowOff>
    </xdr:from>
    <xdr:to>
      <xdr:col>5</xdr:col>
      <xdr:colOff>60960</xdr:colOff>
      <xdr:row>214</xdr:row>
      <xdr:rowOff>129540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E7D1250D-95E3-44E7-B347-C813FE59E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68580</xdr:colOff>
      <xdr:row>214</xdr:row>
      <xdr:rowOff>129540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CDE6EAE1-C95A-4971-B5B8-D8E9CAEDA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68580</xdr:colOff>
      <xdr:row>214</xdr:row>
      <xdr:rowOff>129540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A8DC51C5-9E4B-46EE-8B94-B6AFDD36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60960</xdr:colOff>
      <xdr:row>214</xdr:row>
      <xdr:rowOff>129540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FA773BF5-5F8B-403B-809C-7B6F9FAF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9</xdr:col>
      <xdr:colOff>68580</xdr:colOff>
      <xdr:row>214</xdr:row>
      <xdr:rowOff>129540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8BEAE285-5258-4F48-A2F5-B69CE98A7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68580</xdr:colOff>
      <xdr:row>214</xdr:row>
      <xdr:rowOff>129540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26BE5704-F2C4-4A07-AD73-F4817D278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214</xdr:row>
      <xdr:rowOff>0</xdr:rowOff>
    </xdr:from>
    <xdr:to>
      <xdr:col>11</xdr:col>
      <xdr:colOff>60960</xdr:colOff>
      <xdr:row>214</xdr:row>
      <xdr:rowOff>129540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C5788D7A-CBBF-4799-83B7-3188332EC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68580</xdr:colOff>
      <xdr:row>214</xdr:row>
      <xdr:rowOff>129540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7F2BD817-C1AE-4F72-A46F-09F5B0145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214</xdr:row>
      <xdr:rowOff>0</xdr:rowOff>
    </xdr:from>
    <xdr:to>
      <xdr:col>13</xdr:col>
      <xdr:colOff>68580</xdr:colOff>
      <xdr:row>214</xdr:row>
      <xdr:rowOff>129540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D2CCFED8-D6F4-4BD3-AC35-6544909AC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60960</xdr:colOff>
      <xdr:row>214</xdr:row>
      <xdr:rowOff>129540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D4BA6FE5-C834-48E3-8D0A-81812FF6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2889404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214</xdr:row>
      <xdr:rowOff>0</xdr:rowOff>
    </xdr:from>
    <xdr:to>
      <xdr:col>15</xdr:col>
      <xdr:colOff>68580</xdr:colOff>
      <xdr:row>214</xdr:row>
      <xdr:rowOff>129540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EB19E2FE-9CE0-4B40-AD0A-D7374112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214</xdr:row>
      <xdr:rowOff>0</xdr:rowOff>
    </xdr:from>
    <xdr:to>
      <xdr:col>16</xdr:col>
      <xdr:colOff>68580</xdr:colOff>
      <xdr:row>214</xdr:row>
      <xdr:rowOff>129540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B201FB41-93BB-4C7D-A0AC-E8E743C5E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2889404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2</xdr:col>
      <xdr:colOff>60960</xdr:colOff>
      <xdr:row>219</xdr:row>
      <xdr:rowOff>129540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9F461E63-CB09-4407-9ECC-E90C81294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3932043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219</xdr:row>
      <xdr:rowOff>0</xdr:rowOff>
    </xdr:from>
    <xdr:to>
      <xdr:col>3</xdr:col>
      <xdr:colOff>68580</xdr:colOff>
      <xdr:row>219</xdr:row>
      <xdr:rowOff>129540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B73C7C35-E678-42F1-9D36-3E72D6F27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219</xdr:row>
      <xdr:rowOff>0</xdr:rowOff>
    </xdr:from>
    <xdr:to>
      <xdr:col>4</xdr:col>
      <xdr:colOff>68580</xdr:colOff>
      <xdr:row>219</xdr:row>
      <xdr:rowOff>129540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C99EBCBE-ADB8-4F6D-8CDF-CA777C1C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219</xdr:row>
      <xdr:rowOff>0</xdr:rowOff>
    </xdr:from>
    <xdr:to>
      <xdr:col>5</xdr:col>
      <xdr:colOff>60960</xdr:colOff>
      <xdr:row>219</xdr:row>
      <xdr:rowOff>129540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1FCC34D6-3EDD-4761-BAB6-5F4D26D9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3932043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219</xdr:row>
      <xdr:rowOff>0</xdr:rowOff>
    </xdr:from>
    <xdr:to>
      <xdr:col>6</xdr:col>
      <xdr:colOff>68580</xdr:colOff>
      <xdr:row>219</xdr:row>
      <xdr:rowOff>129540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BE9137AF-1698-4009-95C1-793DD6142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68580</xdr:colOff>
      <xdr:row>219</xdr:row>
      <xdr:rowOff>129540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438C532A-96C0-49E0-A1F6-59C952AB3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60960</xdr:colOff>
      <xdr:row>219</xdr:row>
      <xdr:rowOff>129540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E7E0086A-A522-49BF-9AE3-E3931432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3932043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219</xdr:row>
      <xdr:rowOff>0</xdr:rowOff>
    </xdr:from>
    <xdr:to>
      <xdr:col>9</xdr:col>
      <xdr:colOff>68580</xdr:colOff>
      <xdr:row>219</xdr:row>
      <xdr:rowOff>129540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5AC56550-6AB6-4220-A4A9-231BE5DF2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219</xdr:row>
      <xdr:rowOff>0</xdr:rowOff>
    </xdr:from>
    <xdr:to>
      <xdr:col>10</xdr:col>
      <xdr:colOff>68580</xdr:colOff>
      <xdr:row>219</xdr:row>
      <xdr:rowOff>129540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F6752976-97AD-4CB5-8D1E-1A9C78D0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219</xdr:row>
      <xdr:rowOff>0</xdr:rowOff>
    </xdr:from>
    <xdr:to>
      <xdr:col>11</xdr:col>
      <xdr:colOff>60960</xdr:colOff>
      <xdr:row>219</xdr:row>
      <xdr:rowOff>129540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7DE36C61-3DCF-4FD5-A4DE-28032609E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3932043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219</xdr:row>
      <xdr:rowOff>0</xdr:rowOff>
    </xdr:from>
    <xdr:to>
      <xdr:col>12</xdr:col>
      <xdr:colOff>68580</xdr:colOff>
      <xdr:row>219</xdr:row>
      <xdr:rowOff>129540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38F98AEA-DED4-4A5E-BACF-70EF7265F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219</xdr:row>
      <xdr:rowOff>0</xdr:rowOff>
    </xdr:from>
    <xdr:to>
      <xdr:col>13</xdr:col>
      <xdr:colOff>68580</xdr:colOff>
      <xdr:row>219</xdr:row>
      <xdr:rowOff>129540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241D36B-7EF5-4289-9B68-32D04D7C6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60960</xdr:colOff>
      <xdr:row>219</xdr:row>
      <xdr:rowOff>129540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76F69CB8-F29A-4513-B064-8B8C8894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39320439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219</xdr:row>
      <xdr:rowOff>0</xdr:rowOff>
    </xdr:from>
    <xdr:to>
      <xdr:col>15</xdr:col>
      <xdr:colOff>68580</xdr:colOff>
      <xdr:row>219</xdr:row>
      <xdr:rowOff>129540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48FDE2C9-F6D1-4279-85E7-B7B7655E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219</xdr:row>
      <xdr:rowOff>0</xdr:rowOff>
    </xdr:from>
    <xdr:to>
      <xdr:col>16</xdr:col>
      <xdr:colOff>68580</xdr:colOff>
      <xdr:row>219</xdr:row>
      <xdr:rowOff>129540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BA75C1A2-ACD3-447C-A0BA-547F7F61C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39320439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2</xdr:col>
      <xdr:colOff>60960</xdr:colOff>
      <xdr:row>224</xdr:row>
      <xdr:rowOff>129540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8CFF9CB8-90FA-481A-AA35-537A21649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40268293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224</xdr:row>
      <xdr:rowOff>0</xdr:rowOff>
    </xdr:from>
    <xdr:to>
      <xdr:col>3</xdr:col>
      <xdr:colOff>68580</xdr:colOff>
      <xdr:row>224</xdr:row>
      <xdr:rowOff>129540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8A2C5963-FDA5-4FC2-BEFF-8A1D43E77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224</xdr:row>
      <xdr:rowOff>0</xdr:rowOff>
    </xdr:from>
    <xdr:to>
      <xdr:col>4</xdr:col>
      <xdr:colOff>68580</xdr:colOff>
      <xdr:row>224</xdr:row>
      <xdr:rowOff>129540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188D188A-489E-4805-A6B8-C0C6ABCBF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224</xdr:row>
      <xdr:rowOff>0</xdr:rowOff>
    </xdr:from>
    <xdr:to>
      <xdr:col>5</xdr:col>
      <xdr:colOff>60960</xdr:colOff>
      <xdr:row>224</xdr:row>
      <xdr:rowOff>129540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1D897CA3-8C51-461D-90B0-EE83439C4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40268293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224</xdr:row>
      <xdr:rowOff>0</xdr:rowOff>
    </xdr:from>
    <xdr:to>
      <xdr:col>6</xdr:col>
      <xdr:colOff>68580</xdr:colOff>
      <xdr:row>224</xdr:row>
      <xdr:rowOff>129540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814092C0-9258-4FB7-AC6B-197795603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68580</xdr:colOff>
      <xdr:row>224</xdr:row>
      <xdr:rowOff>129540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9815D342-7377-427D-B006-93D09803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60960</xdr:colOff>
      <xdr:row>224</xdr:row>
      <xdr:rowOff>129540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29DF240D-1CB2-4E42-AE05-10C4CC12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40268293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224</xdr:row>
      <xdr:rowOff>0</xdr:rowOff>
    </xdr:from>
    <xdr:to>
      <xdr:col>9</xdr:col>
      <xdr:colOff>68580</xdr:colOff>
      <xdr:row>224</xdr:row>
      <xdr:rowOff>129540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F219ADA0-794F-4014-8A80-648C6313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224</xdr:row>
      <xdr:rowOff>0</xdr:rowOff>
    </xdr:from>
    <xdr:to>
      <xdr:col>10</xdr:col>
      <xdr:colOff>68580</xdr:colOff>
      <xdr:row>224</xdr:row>
      <xdr:rowOff>129540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71E2A5C9-3044-4464-9A52-A9AB5AAA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224</xdr:row>
      <xdr:rowOff>0</xdr:rowOff>
    </xdr:from>
    <xdr:to>
      <xdr:col>11</xdr:col>
      <xdr:colOff>60960</xdr:colOff>
      <xdr:row>224</xdr:row>
      <xdr:rowOff>129540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7A519F8D-5884-47C4-9383-448A5C39C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40268293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224</xdr:row>
      <xdr:rowOff>0</xdr:rowOff>
    </xdr:from>
    <xdr:to>
      <xdr:col>12</xdr:col>
      <xdr:colOff>68580</xdr:colOff>
      <xdr:row>224</xdr:row>
      <xdr:rowOff>129540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B34830B-0A05-4782-9FE4-85AEAF90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224</xdr:row>
      <xdr:rowOff>0</xdr:rowOff>
    </xdr:from>
    <xdr:to>
      <xdr:col>13</xdr:col>
      <xdr:colOff>68580</xdr:colOff>
      <xdr:row>224</xdr:row>
      <xdr:rowOff>129540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56B32F2F-0344-409A-B67C-03029A138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60960</xdr:colOff>
      <xdr:row>224</xdr:row>
      <xdr:rowOff>129540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692BB982-2912-4624-8E21-1D13476A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40268293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224</xdr:row>
      <xdr:rowOff>0</xdr:rowOff>
    </xdr:from>
    <xdr:to>
      <xdr:col>15</xdr:col>
      <xdr:colOff>68580</xdr:colOff>
      <xdr:row>224</xdr:row>
      <xdr:rowOff>129540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FFFADFA-6A76-4E06-A226-1498A855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224</xdr:row>
      <xdr:rowOff>0</xdr:rowOff>
    </xdr:from>
    <xdr:to>
      <xdr:col>16</xdr:col>
      <xdr:colOff>68580</xdr:colOff>
      <xdr:row>224</xdr:row>
      <xdr:rowOff>129540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951840DE-62E9-454F-897C-0B992C93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40268293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2</xdr:col>
      <xdr:colOff>60960</xdr:colOff>
      <xdr:row>229</xdr:row>
      <xdr:rowOff>129540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A0B35DD9-E904-4677-93E5-D7C96B4B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41216146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229</xdr:row>
      <xdr:rowOff>0</xdr:rowOff>
    </xdr:from>
    <xdr:to>
      <xdr:col>3</xdr:col>
      <xdr:colOff>68580</xdr:colOff>
      <xdr:row>229</xdr:row>
      <xdr:rowOff>129540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42B199C9-1F41-4FD8-AF88-590BAF600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229</xdr:row>
      <xdr:rowOff>0</xdr:rowOff>
    </xdr:from>
    <xdr:to>
      <xdr:col>4</xdr:col>
      <xdr:colOff>68580</xdr:colOff>
      <xdr:row>229</xdr:row>
      <xdr:rowOff>129540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C526DB2C-C1E7-4A38-B278-B49F42696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229</xdr:row>
      <xdr:rowOff>0</xdr:rowOff>
    </xdr:from>
    <xdr:to>
      <xdr:col>5</xdr:col>
      <xdr:colOff>60960</xdr:colOff>
      <xdr:row>229</xdr:row>
      <xdr:rowOff>129540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42DCE8B7-812A-4923-9AE3-62255FB2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41216146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68580</xdr:colOff>
      <xdr:row>229</xdr:row>
      <xdr:rowOff>129540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439E58C2-A17E-450A-A841-D38E33EE1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68580</xdr:colOff>
      <xdr:row>229</xdr:row>
      <xdr:rowOff>129540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8C61C2C8-AA5B-4957-84F4-755FA163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60960</xdr:colOff>
      <xdr:row>229</xdr:row>
      <xdr:rowOff>129540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6D3CC01A-BA42-4C52-9D28-0CAA15FCD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41216146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229</xdr:row>
      <xdr:rowOff>0</xdr:rowOff>
    </xdr:from>
    <xdr:to>
      <xdr:col>9</xdr:col>
      <xdr:colOff>68580</xdr:colOff>
      <xdr:row>229</xdr:row>
      <xdr:rowOff>129540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35046F12-B6DC-4E05-9BCF-20703ACC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68580</xdr:colOff>
      <xdr:row>229</xdr:row>
      <xdr:rowOff>129540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F7AAD6C5-C182-46FC-9867-E3B29289E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60960</xdr:colOff>
      <xdr:row>229</xdr:row>
      <xdr:rowOff>129540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D453379D-A88A-44D2-AAA8-169F376BA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41216146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68580</xdr:colOff>
      <xdr:row>229</xdr:row>
      <xdr:rowOff>129540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F0EC1104-DC31-4BFC-9F57-7AEB9C3F5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229</xdr:row>
      <xdr:rowOff>0</xdr:rowOff>
    </xdr:from>
    <xdr:to>
      <xdr:col>13</xdr:col>
      <xdr:colOff>68580</xdr:colOff>
      <xdr:row>229</xdr:row>
      <xdr:rowOff>129540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E3D88E16-DBE2-4ECB-A6C0-54609DE20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60960</xdr:colOff>
      <xdr:row>229</xdr:row>
      <xdr:rowOff>129540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460C5205-97CA-4400-9F45-1176D40A8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41216146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229</xdr:row>
      <xdr:rowOff>0</xdr:rowOff>
    </xdr:from>
    <xdr:to>
      <xdr:col>15</xdr:col>
      <xdr:colOff>68580</xdr:colOff>
      <xdr:row>229</xdr:row>
      <xdr:rowOff>129540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2449233A-4975-46C4-AA7C-6281F99CF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68580</xdr:colOff>
      <xdr:row>229</xdr:row>
      <xdr:rowOff>129540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1038C244-B39B-4022-84B6-EE95635FF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41216146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2</xdr:col>
      <xdr:colOff>60960</xdr:colOff>
      <xdr:row>234</xdr:row>
      <xdr:rowOff>129540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A575EE88-3EAA-4526-BE24-6C058CD9D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98" y="421640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234</xdr:row>
      <xdr:rowOff>0</xdr:rowOff>
    </xdr:from>
    <xdr:to>
      <xdr:col>3</xdr:col>
      <xdr:colOff>68580</xdr:colOff>
      <xdr:row>234</xdr:row>
      <xdr:rowOff>129540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8E3FB136-1FF1-4224-96E7-548AEC5E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878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234</xdr:row>
      <xdr:rowOff>0</xdr:rowOff>
    </xdr:from>
    <xdr:to>
      <xdr:col>4</xdr:col>
      <xdr:colOff>68580</xdr:colOff>
      <xdr:row>234</xdr:row>
      <xdr:rowOff>129540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5099418F-8DEF-4B50-BC82-CC61E3347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024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234</xdr:row>
      <xdr:rowOff>0</xdr:rowOff>
    </xdr:from>
    <xdr:to>
      <xdr:col>5</xdr:col>
      <xdr:colOff>60960</xdr:colOff>
      <xdr:row>234</xdr:row>
      <xdr:rowOff>129540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90B4FC7F-8432-47CB-A302-C0A6847E3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146" y="421640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234</xdr:row>
      <xdr:rowOff>0</xdr:rowOff>
    </xdr:from>
    <xdr:to>
      <xdr:col>6</xdr:col>
      <xdr:colOff>68580</xdr:colOff>
      <xdr:row>234</xdr:row>
      <xdr:rowOff>129540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1A06F32B-822D-46FF-B2C0-D6F721FA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7268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68580</xdr:colOff>
      <xdr:row>234</xdr:row>
      <xdr:rowOff>129540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93270026-55B2-43C4-861C-3241D921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390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234</xdr:row>
      <xdr:rowOff>0</xdr:rowOff>
    </xdr:from>
    <xdr:to>
      <xdr:col>8</xdr:col>
      <xdr:colOff>60960</xdr:colOff>
      <xdr:row>234</xdr:row>
      <xdr:rowOff>129540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313EB30C-3E44-4183-9FCE-05B08C51B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512" y="421640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234</xdr:row>
      <xdr:rowOff>0</xdr:rowOff>
    </xdr:from>
    <xdr:to>
      <xdr:col>9</xdr:col>
      <xdr:colOff>68580</xdr:colOff>
      <xdr:row>234</xdr:row>
      <xdr:rowOff>129540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503218B8-11BB-4C83-9B12-8760A080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8634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234</xdr:row>
      <xdr:rowOff>0</xdr:rowOff>
    </xdr:from>
    <xdr:to>
      <xdr:col>10</xdr:col>
      <xdr:colOff>68580</xdr:colOff>
      <xdr:row>234</xdr:row>
      <xdr:rowOff>129540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C0DF25B0-237E-4B5E-95D5-EE91220B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5756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234</xdr:row>
      <xdr:rowOff>0</xdr:rowOff>
    </xdr:from>
    <xdr:to>
      <xdr:col>11</xdr:col>
      <xdr:colOff>60960</xdr:colOff>
      <xdr:row>234</xdr:row>
      <xdr:rowOff>129540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475704DD-D6F5-4D88-A9B1-527611A48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878" y="421640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234</xdr:row>
      <xdr:rowOff>0</xdr:rowOff>
    </xdr:from>
    <xdr:to>
      <xdr:col>12</xdr:col>
      <xdr:colOff>68580</xdr:colOff>
      <xdr:row>234</xdr:row>
      <xdr:rowOff>129540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D26C72E7-30E2-4640-ADBF-D44922C6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0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234</xdr:row>
      <xdr:rowOff>0</xdr:rowOff>
    </xdr:from>
    <xdr:to>
      <xdr:col>13</xdr:col>
      <xdr:colOff>68580</xdr:colOff>
      <xdr:row>234</xdr:row>
      <xdr:rowOff>129540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8EE5C793-4645-4C87-9D83-C9536CC7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7122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60960</xdr:colOff>
      <xdr:row>234</xdr:row>
      <xdr:rowOff>129540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30EECD7D-F8DD-403B-83EE-B81EA732F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4244" y="421640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234</xdr:row>
      <xdr:rowOff>0</xdr:rowOff>
    </xdr:from>
    <xdr:to>
      <xdr:col>15</xdr:col>
      <xdr:colOff>68580</xdr:colOff>
      <xdr:row>234</xdr:row>
      <xdr:rowOff>129540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24F3121B-B5E9-4B98-AE6F-D480DF2D6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1366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234</xdr:row>
      <xdr:rowOff>0</xdr:rowOff>
    </xdr:from>
    <xdr:to>
      <xdr:col>16</xdr:col>
      <xdr:colOff>68580</xdr:colOff>
      <xdr:row>234</xdr:row>
      <xdr:rowOff>129540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6D6F3E7D-E492-469B-AFAA-608E2A5F2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8488" y="421640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60960</xdr:colOff>
      <xdr:row>240</xdr:row>
      <xdr:rowOff>129540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3574AF94-D6E1-4F50-9E42-0344C451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446532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2</xdr:col>
      <xdr:colOff>68580</xdr:colOff>
      <xdr:row>240</xdr:row>
      <xdr:rowOff>129540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A6BD115D-152B-4F10-AF1E-B3611A04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240</xdr:row>
      <xdr:rowOff>0</xdr:rowOff>
    </xdr:from>
    <xdr:to>
      <xdr:col>3</xdr:col>
      <xdr:colOff>68580</xdr:colOff>
      <xdr:row>240</xdr:row>
      <xdr:rowOff>129540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7BA89DB2-0DD0-4AB5-868A-0E070FA09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240</xdr:row>
      <xdr:rowOff>0</xdr:rowOff>
    </xdr:from>
    <xdr:to>
      <xdr:col>4</xdr:col>
      <xdr:colOff>60960</xdr:colOff>
      <xdr:row>240</xdr:row>
      <xdr:rowOff>129540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3D70C0F5-89A8-467C-93A9-F288CEC4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" y="446532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240</xdr:row>
      <xdr:rowOff>0</xdr:rowOff>
    </xdr:from>
    <xdr:to>
      <xdr:col>5</xdr:col>
      <xdr:colOff>68580</xdr:colOff>
      <xdr:row>240</xdr:row>
      <xdr:rowOff>129540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39BB7895-1CB0-4D72-9779-206E280F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5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240</xdr:row>
      <xdr:rowOff>0</xdr:rowOff>
    </xdr:from>
    <xdr:to>
      <xdr:col>6</xdr:col>
      <xdr:colOff>68580</xdr:colOff>
      <xdr:row>240</xdr:row>
      <xdr:rowOff>129540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10F692B6-DE71-49D8-9096-D51E31FD7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</xdr:colOff>
      <xdr:row>240</xdr:row>
      <xdr:rowOff>129540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05E33930-4A70-4D94-8866-45ABD7DF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46532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240</xdr:row>
      <xdr:rowOff>0</xdr:rowOff>
    </xdr:from>
    <xdr:to>
      <xdr:col>8</xdr:col>
      <xdr:colOff>68580</xdr:colOff>
      <xdr:row>240</xdr:row>
      <xdr:rowOff>129540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7F9533BC-4837-4113-B8F7-51FE5BF9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93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240</xdr:row>
      <xdr:rowOff>0</xdr:rowOff>
    </xdr:from>
    <xdr:to>
      <xdr:col>9</xdr:col>
      <xdr:colOff>68580</xdr:colOff>
      <xdr:row>240</xdr:row>
      <xdr:rowOff>129540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BC36A275-C263-4BD6-924E-445D4467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240</xdr:row>
      <xdr:rowOff>0</xdr:rowOff>
    </xdr:from>
    <xdr:to>
      <xdr:col>10</xdr:col>
      <xdr:colOff>60960</xdr:colOff>
      <xdr:row>240</xdr:row>
      <xdr:rowOff>129540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989FAABB-36F4-4B92-94DC-2452F46EF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446532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240</xdr:row>
      <xdr:rowOff>0</xdr:rowOff>
    </xdr:from>
    <xdr:to>
      <xdr:col>11</xdr:col>
      <xdr:colOff>68580</xdr:colOff>
      <xdr:row>240</xdr:row>
      <xdr:rowOff>129540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4E1627D3-9F6B-4E39-9B04-570F82A2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1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240</xdr:row>
      <xdr:rowOff>0</xdr:rowOff>
    </xdr:from>
    <xdr:to>
      <xdr:col>12</xdr:col>
      <xdr:colOff>68580</xdr:colOff>
      <xdr:row>240</xdr:row>
      <xdr:rowOff>129540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046D0D70-D2AD-46A7-8570-F7FC5DD7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77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240</xdr:row>
      <xdr:rowOff>0</xdr:rowOff>
    </xdr:from>
    <xdr:to>
      <xdr:col>13</xdr:col>
      <xdr:colOff>60960</xdr:colOff>
      <xdr:row>240</xdr:row>
      <xdr:rowOff>129540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819655CF-C9B5-470A-AC4B-DE8CBFBA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7380" y="4465320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68580</xdr:colOff>
      <xdr:row>240</xdr:row>
      <xdr:rowOff>129540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7970A76-AED9-4B8F-B83E-D818BDAB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69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240</xdr:row>
      <xdr:rowOff>0</xdr:rowOff>
    </xdr:from>
    <xdr:to>
      <xdr:col>15</xdr:col>
      <xdr:colOff>68580</xdr:colOff>
      <xdr:row>240</xdr:row>
      <xdr:rowOff>129540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E4A1E9B9-EA02-482B-8C9A-3D429EA89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4465320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60960</xdr:colOff>
      <xdr:row>245</xdr:row>
      <xdr:rowOff>129540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1450CFD7-5545-411F-A6A2-952D61638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4650486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2</xdr:col>
      <xdr:colOff>68580</xdr:colOff>
      <xdr:row>245</xdr:row>
      <xdr:rowOff>129540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CC88FE62-E162-4811-A5BA-6FDD93F55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245</xdr:row>
      <xdr:rowOff>0</xdr:rowOff>
    </xdr:from>
    <xdr:to>
      <xdr:col>3</xdr:col>
      <xdr:colOff>68580</xdr:colOff>
      <xdr:row>245</xdr:row>
      <xdr:rowOff>129540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66B800F7-8188-413C-9549-911E90638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245</xdr:row>
      <xdr:rowOff>0</xdr:rowOff>
    </xdr:from>
    <xdr:to>
      <xdr:col>4</xdr:col>
      <xdr:colOff>60960</xdr:colOff>
      <xdr:row>245</xdr:row>
      <xdr:rowOff>129540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4330CC6E-5750-4D77-89A7-3E2F249E5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" y="4650486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245</xdr:row>
      <xdr:rowOff>0</xdr:rowOff>
    </xdr:from>
    <xdr:to>
      <xdr:col>5</xdr:col>
      <xdr:colOff>68580</xdr:colOff>
      <xdr:row>245</xdr:row>
      <xdr:rowOff>129540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C96E561A-9682-4A4E-B3BF-861B9EE4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5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245</xdr:row>
      <xdr:rowOff>0</xdr:rowOff>
    </xdr:from>
    <xdr:to>
      <xdr:col>6</xdr:col>
      <xdr:colOff>68580</xdr:colOff>
      <xdr:row>245</xdr:row>
      <xdr:rowOff>129540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B770C1F6-D591-423B-B135-065F9062D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</xdr:colOff>
      <xdr:row>245</xdr:row>
      <xdr:rowOff>129540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DD0C2150-69A5-4F70-8D77-CDA79DA20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650486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245</xdr:row>
      <xdr:rowOff>0</xdr:rowOff>
    </xdr:from>
    <xdr:to>
      <xdr:col>8</xdr:col>
      <xdr:colOff>68580</xdr:colOff>
      <xdr:row>245</xdr:row>
      <xdr:rowOff>129540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D0D87CD7-C6DF-4013-8FE1-B25D14A6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93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245</xdr:row>
      <xdr:rowOff>0</xdr:rowOff>
    </xdr:from>
    <xdr:to>
      <xdr:col>9</xdr:col>
      <xdr:colOff>68580</xdr:colOff>
      <xdr:row>245</xdr:row>
      <xdr:rowOff>129540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41DA9C8C-8745-4A7D-B78E-84B32EEEB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245</xdr:row>
      <xdr:rowOff>0</xdr:rowOff>
    </xdr:from>
    <xdr:to>
      <xdr:col>10</xdr:col>
      <xdr:colOff>60960</xdr:colOff>
      <xdr:row>245</xdr:row>
      <xdr:rowOff>129540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CC05D0E5-C6E4-4AF2-8972-14FF74D7A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4650486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245</xdr:row>
      <xdr:rowOff>0</xdr:rowOff>
    </xdr:from>
    <xdr:to>
      <xdr:col>11</xdr:col>
      <xdr:colOff>68580</xdr:colOff>
      <xdr:row>245</xdr:row>
      <xdr:rowOff>129540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D654430D-7542-4781-9B2F-1AB8DFDAD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1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245</xdr:row>
      <xdr:rowOff>0</xdr:rowOff>
    </xdr:from>
    <xdr:to>
      <xdr:col>12</xdr:col>
      <xdr:colOff>68580</xdr:colOff>
      <xdr:row>245</xdr:row>
      <xdr:rowOff>129540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8F6C6A12-DDD7-4C5C-9B1F-A20C298F4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77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245</xdr:row>
      <xdr:rowOff>0</xdr:rowOff>
    </xdr:from>
    <xdr:to>
      <xdr:col>13</xdr:col>
      <xdr:colOff>60960</xdr:colOff>
      <xdr:row>245</xdr:row>
      <xdr:rowOff>129540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2B31046B-F824-4D8F-B808-C69D53B3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7380" y="46504860"/>
          <a:ext cx="60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68580</xdr:colOff>
      <xdr:row>245</xdr:row>
      <xdr:rowOff>129540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55AD2575-546F-42ED-81A0-2BAEAA808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69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245</xdr:row>
      <xdr:rowOff>0</xdr:rowOff>
    </xdr:from>
    <xdr:to>
      <xdr:col>15</xdr:col>
      <xdr:colOff>68580</xdr:colOff>
      <xdr:row>245</xdr:row>
      <xdr:rowOff>129540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174724BD-C4DF-494E-90D4-BF59CA50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580" y="46504860"/>
          <a:ext cx="6858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2"/>
  <sheetViews>
    <sheetView tabSelected="1" topLeftCell="A2" zoomScale="94" workbookViewId="0">
      <selection sqref="A1:A3"/>
    </sheetView>
  </sheetViews>
  <sheetFormatPr defaultRowHeight="14.4" x14ac:dyDescent="0.3"/>
  <cols>
    <col min="1" max="1" width="19.33203125" bestFit="1" customWidth="1"/>
    <col min="2" max="2" width="16" customWidth="1"/>
    <col min="3" max="3" width="11.44140625" bestFit="1" customWidth="1"/>
    <col min="4" max="4" width="12.109375" bestFit="1" customWidth="1"/>
  </cols>
  <sheetData>
    <row r="1" spans="1:19" ht="14.4" hidden="1" customHeight="1" x14ac:dyDescent="0.3">
      <c r="A1" s="125" t="s">
        <v>0</v>
      </c>
      <c r="B1" s="34" t="s">
        <v>1</v>
      </c>
      <c r="C1" s="35"/>
      <c r="D1" s="36"/>
      <c r="E1" s="34" t="s">
        <v>2</v>
      </c>
      <c r="F1" s="35"/>
      <c r="G1" s="36"/>
      <c r="H1" s="17"/>
      <c r="I1" s="17"/>
      <c r="J1" s="17"/>
      <c r="K1" s="128"/>
      <c r="L1" s="128"/>
      <c r="M1" s="128"/>
      <c r="N1" s="128"/>
      <c r="O1" s="128"/>
      <c r="P1" s="128"/>
      <c r="Q1" s="128"/>
      <c r="R1" s="128"/>
      <c r="S1" s="128"/>
    </row>
    <row r="2" spans="1:19" x14ac:dyDescent="0.3">
      <c r="A2" s="126"/>
      <c r="B2" s="136" t="s">
        <v>1</v>
      </c>
      <c r="C2" s="129"/>
      <c r="D2" s="137"/>
      <c r="E2" s="136" t="s">
        <v>2</v>
      </c>
      <c r="F2" s="129"/>
      <c r="G2" s="137"/>
      <c r="H2" s="18"/>
      <c r="I2" s="18"/>
      <c r="J2" s="18"/>
      <c r="K2" s="129"/>
      <c r="L2" s="129"/>
      <c r="M2" s="129"/>
      <c r="N2" s="129"/>
      <c r="O2" s="129"/>
      <c r="P2" s="129"/>
      <c r="Q2" s="129"/>
      <c r="R2" s="129"/>
      <c r="S2" s="129"/>
    </row>
    <row r="3" spans="1:19" ht="15" thickBot="1" x14ac:dyDescent="0.35">
      <c r="A3" s="127"/>
      <c r="B3" s="138"/>
      <c r="C3" s="139"/>
      <c r="D3" s="140"/>
      <c r="E3" s="138"/>
      <c r="F3" s="139"/>
      <c r="G3" s="140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14.4" customHeight="1" x14ac:dyDescent="0.3">
      <c r="A4" s="26" t="s">
        <v>3</v>
      </c>
      <c r="B4" s="130" t="s">
        <v>17</v>
      </c>
      <c r="C4" s="131"/>
      <c r="D4" s="132"/>
      <c r="E4" s="130" t="s">
        <v>20</v>
      </c>
      <c r="F4" s="131"/>
      <c r="G4" s="132"/>
      <c r="H4" s="13"/>
      <c r="I4" s="13"/>
      <c r="J4" s="13"/>
      <c r="K4" s="7"/>
      <c r="L4" s="7"/>
      <c r="M4" s="7"/>
      <c r="N4" s="13"/>
      <c r="O4" s="13"/>
      <c r="P4" s="13"/>
      <c r="Q4" s="13"/>
      <c r="R4" s="13"/>
      <c r="S4" s="13"/>
    </row>
    <row r="5" spans="1:19" x14ac:dyDescent="0.3">
      <c r="A5" s="26" t="s">
        <v>4</v>
      </c>
      <c r="B5" s="133" t="s">
        <v>17</v>
      </c>
      <c r="C5" s="134"/>
      <c r="D5" s="135"/>
      <c r="E5" s="133" t="s">
        <v>23</v>
      </c>
      <c r="F5" s="134"/>
      <c r="G5" s="135"/>
      <c r="H5" s="13"/>
      <c r="I5" s="13"/>
      <c r="J5" s="13"/>
      <c r="K5" s="7"/>
      <c r="L5" s="7"/>
      <c r="M5" s="7"/>
      <c r="N5" s="13"/>
      <c r="O5" s="13"/>
      <c r="P5" s="13"/>
      <c r="Q5" s="13"/>
      <c r="R5" s="13"/>
      <c r="S5" s="13"/>
    </row>
    <row r="6" spans="1:19" x14ac:dyDescent="0.3">
      <c r="A6" s="26" t="s">
        <v>5</v>
      </c>
      <c r="B6" s="133" t="s">
        <v>17</v>
      </c>
      <c r="C6" s="134"/>
      <c r="D6" s="135"/>
      <c r="E6" s="133" t="s">
        <v>23</v>
      </c>
      <c r="F6" s="134"/>
      <c r="G6" s="135"/>
      <c r="H6" s="13"/>
      <c r="I6" s="13"/>
      <c r="J6" s="13"/>
      <c r="K6" s="7"/>
      <c r="L6" s="7"/>
      <c r="M6" s="7"/>
      <c r="N6" s="13"/>
      <c r="O6" s="13"/>
      <c r="P6" s="13"/>
      <c r="Q6" s="13"/>
      <c r="R6" s="13"/>
      <c r="S6" s="13"/>
    </row>
    <row r="7" spans="1:19" ht="14.4" customHeight="1" x14ac:dyDescent="0.3">
      <c r="A7" s="26" t="s">
        <v>6</v>
      </c>
      <c r="B7" s="133" t="s">
        <v>17</v>
      </c>
      <c r="C7" s="134"/>
      <c r="D7" s="135"/>
      <c r="E7" s="133" t="s">
        <v>21</v>
      </c>
      <c r="F7" s="134"/>
      <c r="G7" s="135"/>
      <c r="H7" s="13"/>
      <c r="I7" s="13"/>
      <c r="J7" s="134" t="s">
        <v>108</v>
      </c>
      <c r="K7" s="134"/>
      <c r="L7" s="134"/>
      <c r="M7" s="134"/>
      <c r="N7" s="134"/>
      <c r="O7" s="134"/>
      <c r="P7" s="13"/>
      <c r="Q7" s="13"/>
      <c r="R7" s="13"/>
      <c r="S7" s="13"/>
    </row>
    <row r="8" spans="1:19" ht="14.4" customHeight="1" x14ac:dyDescent="0.3">
      <c r="A8" s="26" t="s">
        <v>7</v>
      </c>
      <c r="B8" s="141" t="s">
        <v>16</v>
      </c>
      <c r="C8" s="142"/>
      <c r="D8" s="143"/>
      <c r="E8" s="133" t="s">
        <v>21</v>
      </c>
      <c r="F8" s="134"/>
      <c r="G8" s="135"/>
      <c r="H8" s="13"/>
      <c r="I8" s="13"/>
      <c r="J8" s="13"/>
      <c r="K8" s="7"/>
      <c r="L8" s="7"/>
      <c r="M8" s="7"/>
      <c r="N8" s="13"/>
      <c r="O8" s="13"/>
      <c r="P8" s="13"/>
      <c r="Q8" s="13"/>
      <c r="R8" s="13"/>
      <c r="S8" s="13"/>
    </row>
    <row r="9" spans="1:19" x14ac:dyDescent="0.3">
      <c r="A9" s="26" t="s">
        <v>8</v>
      </c>
      <c r="B9" s="133" t="s">
        <v>16</v>
      </c>
      <c r="C9" s="134"/>
      <c r="D9" s="135"/>
      <c r="E9" s="133" t="s">
        <v>22</v>
      </c>
      <c r="F9" s="134"/>
      <c r="G9" s="135"/>
      <c r="H9" s="13"/>
      <c r="I9" s="13"/>
      <c r="J9" s="13"/>
      <c r="K9" s="7"/>
      <c r="L9" s="7"/>
      <c r="M9" s="7"/>
      <c r="N9" s="13"/>
      <c r="O9" s="13"/>
      <c r="P9" s="13"/>
      <c r="Q9" s="13"/>
      <c r="R9" s="13"/>
      <c r="S9" s="13"/>
    </row>
    <row r="10" spans="1:19" ht="14.4" customHeight="1" x14ac:dyDescent="0.3">
      <c r="A10" s="26" t="s">
        <v>9</v>
      </c>
      <c r="B10" s="133" t="s">
        <v>16</v>
      </c>
      <c r="C10" s="134"/>
      <c r="D10" s="135"/>
      <c r="E10" s="133" t="s">
        <v>24</v>
      </c>
      <c r="F10" s="134"/>
      <c r="G10" s="135"/>
      <c r="H10" s="13"/>
      <c r="I10" s="13"/>
      <c r="J10" s="13"/>
      <c r="K10" s="7"/>
      <c r="L10" s="7"/>
      <c r="M10" s="7"/>
      <c r="N10" s="13"/>
      <c r="O10" s="13"/>
      <c r="P10" s="13"/>
      <c r="Q10" s="13"/>
      <c r="R10" s="13"/>
      <c r="S10" s="13"/>
    </row>
    <row r="11" spans="1:19" ht="14.4" customHeight="1" x14ac:dyDescent="0.3">
      <c r="A11" s="26" t="s">
        <v>13</v>
      </c>
      <c r="B11" s="133" t="s">
        <v>18</v>
      </c>
      <c r="C11" s="134"/>
      <c r="D11" s="135"/>
      <c r="E11" s="133" t="s">
        <v>24</v>
      </c>
      <c r="F11" s="134"/>
      <c r="G11" s="135"/>
      <c r="H11" s="13"/>
      <c r="I11" s="13"/>
      <c r="J11" s="13"/>
      <c r="K11" s="7"/>
      <c r="L11" s="7"/>
      <c r="M11" s="7"/>
      <c r="N11" s="13"/>
      <c r="O11" s="13"/>
      <c r="P11" s="13"/>
      <c r="Q11" s="13"/>
      <c r="R11" s="13"/>
      <c r="S11" s="13"/>
    </row>
    <row r="12" spans="1:19" ht="14.4" customHeight="1" x14ac:dyDescent="0.3">
      <c r="A12" s="26" t="s">
        <v>14</v>
      </c>
      <c r="B12" s="133" t="s">
        <v>18</v>
      </c>
      <c r="C12" s="134"/>
      <c r="D12" s="135"/>
      <c r="E12" s="133" t="s">
        <v>25</v>
      </c>
      <c r="F12" s="134"/>
      <c r="G12" s="135"/>
      <c r="H12" s="13"/>
      <c r="I12" s="13"/>
      <c r="J12" s="13"/>
      <c r="K12" s="7"/>
      <c r="L12" s="7"/>
      <c r="M12" s="7"/>
      <c r="N12" s="13"/>
      <c r="O12" s="13"/>
      <c r="P12" s="13"/>
      <c r="Q12" s="13"/>
      <c r="R12" s="13"/>
      <c r="S12" s="13"/>
    </row>
    <row r="13" spans="1:19" ht="15" customHeight="1" thickBot="1" x14ac:dyDescent="0.35">
      <c r="A13" s="27" t="s">
        <v>15</v>
      </c>
      <c r="B13" s="151" t="s">
        <v>19</v>
      </c>
      <c r="C13" s="152"/>
      <c r="D13" s="153"/>
      <c r="E13" s="151" t="s">
        <v>26</v>
      </c>
      <c r="F13" s="152"/>
      <c r="G13" s="153"/>
      <c r="H13" s="13"/>
      <c r="I13" s="13"/>
      <c r="J13" s="13"/>
      <c r="K13" s="7"/>
      <c r="L13" s="7"/>
      <c r="M13" s="7"/>
      <c r="N13" s="13"/>
      <c r="O13" s="13"/>
      <c r="P13" s="13"/>
      <c r="Q13" s="13"/>
      <c r="R13" s="13"/>
      <c r="S13" s="13"/>
    </row>
    <row r="14" spans="1:19" ht="15" thickBot="1" x14ac:dyDescent="0.35">
      <c r="A14" s="15"/>
    </row>
    <row r="15" spans="1:19" ht="15" thickBot="1" x14ac:dyDescent="0.35">
      <c r="A15" s="125" t="s">
        <v>0</v>
      </c>
      <c r="B15" s="11" t="s">
        <v>1</v>
      </c>
      <c r="C15" s="1"/>
      <c r="D15" s="1"/>
      <c r="E15" s="1"/>
      <c r="F15" s="1"/>
      <c r="G15" s="1"/>
      <c r="H15" s="1"/>
      <c r="I15" s="1"/>
      <c r="J15" s="14"/>
      <c r="K15" s="122" t="s">
        <v>2</v>
      </c>
      <c r="L15" s="123"/>
      <c r="M15" s="123"/>
      <c r="N15" s="123"/>
      <c r="O15" s="123"/>
      <c r="P15" s="123"/>
      <c r="Q15" s="123"/>
      <c r="R15" s="123"/>
      <c r="S15" s="124"/>
    </row>
    <row r="16" spans="1:19" ht="15" thickBot="1" x14ac:dyDescent="0.35">
      <c r="A16" s="126"/>
      <c r="B16" s="4" t="s">
        <v>10</v>
      </c>
      <c r="C16" s="4"/>
      <c r="D16" s="5"/>
      <c r="E16" s="33" t="s">
        <v>11</v>
      </c>
      <c r="F16" s="4"/>
      <c r="G16" s="5"/>
      <c r="H16" s="33" t="s">
        <v>12</v>
      </c>
      <c r="I16" s="4"/>
      <c r="J16" s="5"/>
      <c r="K16" s="120" t="s">
        <v>10</v>
      </c>
      <c r="L16" s="120"/>
      <c r="M16" s="121"/>
      <c r="N16" s="119" t="s">
        <v>11</v>
      </c>
      <c r="O16" s="120"/>
      <c r="P16" s="121"/>
      <c r="Q16" s="119" t="s">
        <v>12</v>
      </c>
      <c r="R16" s="120"/>
      <c r="S16" s="121"/>
    </row>
    <row r="17" spans="1:30" ht="15" thickBot="1" x14ac:dyDescent="0.35">
      <c r="A17" s="127"/>
      <c r="B17" s="4" t="s">
        <v>10</v>
      </c>
      <c r="C17" s="4" t="s">
        <v>11</v>
      </c>
      <c r="D17" s="5" t="s">
        <v>12</v>
      </c>
      <c r="E17" s="12" t="s">
        <v>10</v>
      </c>
      <c r="F17" s="2" t="s">
        <v>11</v>
      </c>
      <c r="G17" s="5" t="s">
        <v>12</v>
      </c>
      <c r="H17" s="12" t="s">
        <v>10</v>
      </c>
      <c r="I17" s="2" t="s">
        <v>11</v>
      </c>
      <c r="J17" s="16" t="s">
        <v>12</v>
      </c>
      <c r="K17" s="4" t="s">
        <v>10</v>
      </c>
      <c r="L17" s="4" t="s">
        <v>11</v>
      </c>
      <c r="M17" s="5" t="s">
        <v>12</v>
      </c>
      <c r="N17" s="12" t="s">
        <v>10</v>
      </c>
      <c r="O17" s="2" t="s">
        <v>11</v>
      </c>
      <c r="P17" s="5" t="s">
        <v>12</v>
      </c>
      <c r="Q17" s="12" t="s">
        <v>10</v>
      </c>
      <c r="R17" s="2" t="s">
        <v>11</v>
      </c>
      <c r="S17" s="16" t="s">
        <v>12</v>
      </c>
    </row>
    <row r="18" spans="1:30" x14ac:dyDescent="0.3">
      <c r="A18" s="26" t="s">
        <v>3</v>
      </c>
      <c r="B18" s="39">
        <v>0.2</v>
      </c>
      <c r="C18" s="40">
        <v>0.2</v>
      </c>
      <c r="D18" s="41">
        <v>0.1</v>
      </c>
      <c r="E18" s="39">
        <v>0.65</v>
      </c>
      <c r="F18" s="40">
        <v>0.8</v>
      </c>
      <c r="G18" s="41">
        <v>0.85</v>
      </c>
      <c r="H18" s="39">
        <v>0.45</v>
      </c>
      <c r="I18" s="40">
        <v>0.8</v>
      </c>
      <c r="J18" s="41">
        <v>0.7</v>
      </c>
      <c r="K18" s="6">
        <v>0.2</v>
      </c>
      <c r="L18" s="7">
        <v>0.2</v>
      </c>
      <c r="M18" s="8">
        <v>0.1</v>
      </c>
      <c r="N18" s="6">
        <v>0.65</v>
      </c>
      <c r="O18" s="7">
        <v>0.8</v>
      </c>
      <c r="P18" s="8">
        <v>0.85</v>
      </c>
      <c r="Q18" s="6">
        <v>0.45</v>
      </c>
      <c r="R18" s="7">
        <v>0.8</v>
      </c>
      <c r="S18" s="8">
        <v>0.7</v>
      </c>
    </row>
    <row r="19" spans="1:30" x14ac:dyDescent="0.3">
      <c r="A19" s="26" t="s">
        <v>4</v>
      </c>
      <c r="B19" s="6">
        <v>0.2</v>
      </c>
      <c r="C19" s="7">
        <v>0.2</v>
      </c>
      <c r="D19" s="8">
        <v>0.1</v>
      </c>
      <c r="E19" s="6">
        <v>0.65</v>
      </c>
      <c r="F19" s="7">
        <v>0.8</v>
      </c>
      <c r="G19" s="8">
        <v>0.85</v>
      </c>
      <c r="H19" s="6">
        <v>0.45</v>
      </c>
      <c r="I19" s="7">
        <v>0.8</v>
      </c>
      <c r="J19" s="8">
        <v>0.7</v>
      </c>
      <c r="K19" s="6">
        <v>0.35</v>
      </c>
      <c r="L19" s="7">
        <v>0.35</v>
      </c>
      <c r="M19" s="8">
        <v>0.1</v>
      </c>
      <c r="N19" s="6">
        <v>0.5</v>
      </c>
      <c r="O19" s="7">
        <v>0.75</v>
      </c>
      <c r="P19" s="8">
        <v>0.8</v>
      </c>
      <c r="Q19" s="6">
        <v>0.5</v>
      </c>
      <c r="R19" s="7">
        <v>0.75</v>
      </c>
      <c r="S19" s="8">
        <v>0.65</v>
      </c>
      <c r="U19" s="155" t="s">
        <v>109</v>
      </c>
      <c r="V19" s="155"/>
      <c r="W19" s="155"/>
      <c r="X19" s="155"/>
      <c r="Y19" s="155"/>
      <c r="Z19" s="155"/>
      <c r="AA19" s="155"/>
      <c r="AB19" s="155"/>
      <c r="AC19" s="155"/>
      <c r="AD19" s="155"/>
    </row>
    <row r="20" spans="1:30" x14ac:dyDescent="0.3">
      <c r="A20" s="26" t="s">
        <v>5</v>
      </c>
      <c r="B20" s="6">
        <v>0.2</v>
      </c>
      <c r="C20" s="7">
        <v>0.2</v>
      </c>
      <c r="D20" s="8">
        <v>0.1</v>
      </c>
      <c r="E20" s="6">
        <v>0.65</v>
      </c>
      <c r="F20" s="7">
        <v>0.8</v>
      </c>
      <c r="G20" s="8">
        <v>0.85</v>
      </c>
      <c r="H20" s="6">
        <v>0.45</v>
      </c>
      <c r="I20" s="7">
        <v>0.8</v>
      </c>
      <c r="J20" s="8">
        <v>0.7</v>
      </c>
      <c r="K20" s="6">
        <v>0.35</v>
      </c>
      <c r="L20" s="7">
        <v>0.35</v>
      </c>
      <c r="M20" s="8">
        <v>0.1</v>
      </c>
      <c r="N20" s="6">
        <v>0.5</v>
      </c>
      <c r="O20" s="7">
        <v>0.75</v>
      </c>
      <c r="P20" s="8">
        <v>0.8</v>
      </c>
      <c r="Q20" s="6">
        <v>0.5</v>
      </c>
      <c r="R20" s="7">
        <v>0.75</v>
      </c>
      <c r="S20" s="8">
        <v>0.65</v>
      </c>
    </row>
    <row r="21" spans="1:30" x14ac:dyDescent="0.3">
      <c r="A21" s="26" t="s">
        <v>6</v>
      </c>
      <c r="B21" s="6">
        <v>0.2</v>
      </c>
      <c r="C21" s="7">
        <v>0.2</v>
      </c>
      <c r="D21" s="8">
        <v>0.1</v>
      </c>
      <c r="E21" s="6">
        <v>0.65</v>
      </c>
      <c r="F21" s="7">
        <v>0.8</v>
      </c>
      <c r="G21" s="8">
        <v>0.85</v>
      </c>
      <c r="H21" s="6">
        <v>0.45</v>
      </c>
      <c r="I21" s="7">
        <v>0.8</v>
      </c>
      <c r="J21" s="8">
        <v>0.7</v>
      </c>
      <c r="K21" s="6">
        <v>0.4</v>
      </c>
      <c r="L21" s="7">
        <v>0.3</v>
      </c>
      <c r="M21" s="8">
        <v>0.35</v>
      </c>
      <c r="N21" s="6">
        <v>0.5</v>
      </c>
      <c r="O21" s="7">
        <v>0.45</v>
      </c>
      <c r="P21" s="8">
        <v>0.6</v>
      </c>
      <c r="Q21" s="6">
        <v>0.45</v>
      </c>
      <c r="R21" s="7">
        <v>0.4</v>
      </c>
      <c r="S21" s="8">
        <v>0.6</v>
      </c>
    </row>
    <row r="22" spans="1:30" x14ac:dyDescent="0.3">
      <c r="A22" s="26" t="s">
        <v>7</v>
      </c>
      <c r="B22" s="6">
        <v>0.35</v>
      </c>
      <c r="C22" s="7">
        <v>0.35</v>
      </c>
      <c r="D22" s="8">
        <v>0.1</v>
      </c>
      <c r="E22" s="6">
        <v>0.5</v>
      </c>
      <c r="F22" s="7">
        <v>0.75</v>
      </c>
      <c r="G22" s="8">
        <v>0.8</v>
      </c>
      <c r="H22" s="6">
        <v>0.5</v>
      </c>
      <c r="I22" s="7">
        <v>0.75</v>
      </c>
      <c r="J22" s="8">
        <v>0.65</v>
      </c>
      <c r="K22" s="6">
        <v>0.4</v>
      </c>
      <c r="L22" s="7">
        <v>0.3</v>
      </c>
      <c r="M22" s="8">
        <v>0.35</v>
      </c>
      <c r="N22" s="6">
        <v>0.5</v>
      </c>
      <c r="O22" s="7">
        <v>0.45</v>
      </c>
      <c r="P22" s="8">
        <v>0.6</v>
      </c>
      <c r="Q22" s="6">
        <v>0.45</v>
      </c>
      <c r="R22" s="7">
        <v>0.4</v>
      </c>
      <c r="S22" s="8">
        <v>0.6</v>
      </c>
    </row>
    <row r="23" spans="1:30" x14ac:dyDescent="0.3">
      <c r="A23" s="26" t="s">
        <v>8</v>
      </c>
      <c r="B23" s="6">
        <v>0.35</v>
      </c>
      <c r="C23" s="7">
        <v>0.35</v>
      </c>
      <c r="D23" s="8">
        <v>0.1</v>
      </c>
      <c r="E23" s="6">
        <v>0.5</v>
      </c>
      <c r="F23" s="7">
        <v>0.75</v>
      </c>
      <c r="G23" s="8">
        <v>0.8</v>
      </c>
      <c r="H23" s="6">
        <v>0.5</v>
      </c>
      <c r="I23" s="7">
        <v>0.75</v>
      </c>
      <c r="J23" s="8">
        <v>0.65</v>
      </c>
      <c r="K23" s="6">
        <v>0.5</v>
      </c>
      <c r="L23" s="7">
        <v>0.45</v>
      </c>
      <c r="M23" s="8">
        <v>0.5</v>
      </c>
      <c r="N23" s="6">
        <v>0.4</v>
      </c>
      <c r="O23" s="7">
        <v>0.35</v>
      </c>
      <c r="P23" s="8">
        <v>0.5</v>
      </c>
      <c r="Q23" s="6">
        <v>0.35</v>
      </c>
      <c r="R23" s="7">
        <v>0.3</v>
      </c>
      <c r="S23" s="8">
        <v>0.45</v>
      </c>
    </row>
    <row r="24" spans="1:30" x14ac:dyDescent="0.3">
      <c r="A24" s="26" t="s">
        <v>9</v>
      </c>
      <c r="B24" s="6">
        <v>0.35</v>
      </c>
      <c r="C24" s="7">
        <v>0.35</v>
      </c>
      <c r="D24" s="8">
        <v>0.1</v>
      </c>
      <c r="E24" s="6">
        <v>0.5</v>
      </c>
      <c r="F24" s="7">
        <v>0.75</v>
      </c>
      <c r="G24" s="8">
        <v>0.8</v>
      </c>
      <c r="H24" s="6">
        <v>0.5</v>
      </c>
      <c r="I24" s="7">
        <v>0.75</v>
      </c>
      <c r="J24" s="8">
        <v>0.65</v>
      </c>
      <c r="K24" s="6">
        <v>0.6</v>
      </c>
      <c r="L24" s="7">
        <v>0.45</v>
      </c>
      <c r="M24" s="8">
        <v>0.5</v>
      </c>
      <c r="N24" s="6">
        <v>0.2</v>
      </c>
      <c r="O24" s="7">
        <v>0.15</v>
      </c>
      <c r="P24" s="8">
        <v>0.25</v>
      </c>
      <c r="Q24" s="6">
        <v>0.1</v>
      </c>
      <c r="R24" s="7">
        <v>0.25</v>
      </c>
      <c r="S24" s="8">
        <v>0.15</v>
      </c>
    </row>
    <row r="25" spans="1:30" x14ac:dyDescent="0.3">
      <c r="A25" s="26" t="s">
        <v>13</v>
      </c>
      <c r="B25" s="6">
        <v>0.4</v>
      </c>
      <c r="C25" s="7">
        <v>0.3</v>
      </c>
      <c r="D25" s="8">
        <v>0.35</v>
      </c>
      <c r="E25" s="6">
        <v>0.5</v>
      </c>
      <c r="F25" s="7">
        <v>0.45</v>
      </c>
      <c r="G25" s="8">
        <v>0.6</v>
      </c>
      <c r="H25" s="6">
        <v>0.45</v>
      </c>
      <c r="I25" s="7">
        <v>0.4</v>
      </c>
      <c r="J25" s="8">
        <v>0.6</v>
      </c>
      <c r="K25" s="6">
        <v>0.6</v>
      </c>
      <c r="L25" s="7">
        <v>0.45</v>
      </c>
      <c r="M25" s="8">
        <v>0.5</v>
      </c>
      <c r="N25" s="6">
        <v>0.2</v>
      </c>
      <c r="O25" s="7">
        <v>0.15</v>
      </c>
      <c r="P25" s="8">
        <v>0.25</v>
      </c>
      <c r="Q25" s="6">
        <v>0.1</v>
      </c>
      <c r="R25" s="7">
        <v>0.25</v>
      </c>
      <c r="S25" s="8">
        <v>0.15</v>
      </c>
    </row>
    <row r="26" spans="1:30" x14ac:dyDescent="0.3">
      <c r="A26" s="26" t="s">
        <v>14</v>
      </c>
      <c r="B26" s="6">
        <v>0.4</v>
      </c>
      <c r="C26" s="7">
        <v>0.3</v>
      </c>
      <c r="D26" s="8">
        <v>0.35</v>
      </c>
      <c r="E26" s="6">
        <v>0.5</v>
      </c>
      <c r="F26" s="7">
        <v>0.45</v>
      </c>
      <c r="G26" s="8">
        <v>0.6</v>
      </c>
      <c r="H26" s="6">
        <v>0.45</v>
      </c>
      <c r="I26" s="7">
        <v>0.4</v>
      </c>
      <c r="J26" s="8">
        <v>0.6</v>
      </c>
      <c r="K26" s="6">
        <v>0.7</v>
      </c>
      <c r="L26" s="7">
        <v>0.75</v>
      </c>
      <c r="M26" s="8">
        <v>0.8</v>
      </c>
      <c r="N26" s="6">
        <v>0.15</v>
      </c>
      <c r="O26" s="7">
        <v>0.2</v>
      </c>
      <c r="P26" s="8">
        <v>0.25</v>
      </c>
      <c r="Q26" s="6">
        <v>0.1</v>
      </c>
      <c r="R26" s="7">
        <v>0.15</v>
      </c>
      <c r="S26" s="8">
        <v>0.2</v>
      </c>
    </row>
    <row r="27" spans="1:30" ht="15" thickBot="1" x14ac:dyDescent="0.35">
      <c r="A27" s="27" t="s">
        <v>15</v>
      </c>
      <c r="B27" s="9">
        <v>0.5</v>
      </c>
      <c r="C27" s="3">
        <v>0.45</v>
      </c>
      <c r="D27" s="10">
        <v>0.5</v>
      </c>
      <c r="E27" s="9">
        <v>0.4</v>
      </c>
      <c r="F27" s="3">
        <v>0.35</v>
      </c>
      <c r="G27" s="10">
        <v>0.5</v>
      </c>
      <c r="H27" s="9">
        <v>0.35</v>
      </c>
      <c r="I27" s="3">
        <v>0.3</v>
      </c>
      <c r="J27" s="10">
        <v>0.45</v>
      </c>
      <c r="K27" s="9">
        <v>0.95</v>
      </c>
      <c r="L27" s="3">
        <v>0.9</v>
      </c>
      <c r="M27" s="10">
        <v>0.95</v>
      </c>
      <c r="N27" s="9">
        <v>0.1</v>
      </c>
      <c r="O27" s="3">
        <v>0.1</v>
      </c>
      <c r="P27" s="10">
        <v>0.05</v>
      </c>
      <c r="Q27" s="9">
        <v>0.05</v>
      </c>
      <c r="R27" s="3">
        <v>0.05</v>
      </c>
      <c r="S27" s="10">
        <v>0.05</v>
      </c>
    </row>
    <row r="28" spans="1:30" ht="15" thickBot="1" x14ac:dyDescent="0.35"/>
    <row r="29" spans="1:30" ht="15.6" customHeight="1" thickBot="1" x14ac:dyDescent="0.35">
      <c r="A29" s="125" t="s">
        <v>0</v>
      </c>
      <c r="B29" s="33" t="s">
        <v>27</v>
      </c>
      <c r="C29" s="4"/>
      <c r="D29" s="4"/>
      <c r="E29" s="4"/>
      <c r="F29" s="4"/>
      <c r="G29" s="4"/>
      <c r="H29" s="4"/>
      <c r="I29" s="4"/>
      <c r="J29" s="5"/>
      <c r="K29" s="156" t="s">
        <v>110</v>
      </c>
      <c r="L29" s="157"/>
      <c r="M29" s="157"/>
      <c r="N29" s="157"/>
      <c r="O29" s="157"/>
      <c r="P29" s="157"/>
      <c r="Q29" s="20"/>
      <c r="R29" s="20"/>
      <c r="S29" s="20"/>
    </row>
    <row r="30" spans="1:30" ht="15" thickBot="1" x14ac:dyDescent="0.35">
      <c r="A30" s="126"/>
      <c r="B30" s="33" t="s">
        <v>10</v>
      </c>
      <c r="C30" s="4"/>
      <c r="D30" s="5"/>
      <c r="E30" s="33" t="s">
        <v>11</v>
      </c>
      <c r="F30" s="4"/>
      <c r="G30" s="5"/>
      <c r="H30" s="33" t="s">
        <v>12</v>
      </c>
      <c r="I30" s="4"/>
      <c r="J30" s="5"/>
      <c r="K30" s="20"/>
      <c r="L30" s="19" t="s">
        <v>28</v>
      </c>
      <c r="M30" s="19">
        <v>0.5</v>
      </c>
      <c r="N30" s="20"/>
      <c r="O30" s="20"/>
      <c r="P30" s="20"/>
      <c r="Q30" s="20"/>
      <c r="R30" s="20"/>
      <c r="S30" s="20"/>
    </row>
    <row r="31" spans="1:30" ht="15" thickBot="1" x14ac:dyDescent="0.35">
      <c r="A31" s="127"/>
      <c r="B31" s="34" t="s">
        <v>10</v>
      </c>
      <c r="C31" s="35" t="s">
        <v>11</v>
      </c>
      <c r="D31" s="36" t="s">
        <v>12</v>
      </c>
      <c r="E31" s="37" t="s">
        <v>10</v>
      </c>
      <c r="F31" s="18" t="s">
        <v>11</v>
      </c>
      <c r="G31" s="36" t="s">
        <v>12</v>
      </c>
      <c r="H31" s="37" t="s">
        <v>10</v>
      </c>
      <c r="I31" s="18" t="s">
        <v>11</v>
      </c>
      <c r="J31" s="38" t="s">
        <v>12</v>
      </c>
      <c r="K31" s="19"/>
      <c r="L31" s="19" t="s">
        <v>29</v>
      </c>
      <c r="M31" s="19">
        <v>0.5</v>
      </c>
      <c r="N31" s="19" t="s">
        <v>68</v>
      </c>
      <c r="O31" s="19" t="s">
        <v>70</v>
      </c>
      <c r="P31" s="19"/>
      <c r="Q31" s="19"/>
      <c r="R31" s="19"/>
      <c r="S31" s="19"/>
    </row>
    <row r="32" spans="1:30" x14ac:dyDescent="0.3">
      <c r="A32" s="26" t="s">
        <v>3</v>
      </c>
      <c r="B32" s="39">
        <f>1-((1-B18)^$M$30*(1-K18)^$M$31)</f>
        <v>0.20000000000000007</v>
      </c>
      <c r="C32" s="39">
        <f>C18^$M$30*L18^$M$31</f>
        <v>0.19999999999999998</v>
      </c>
      <c r="D32" s="21">
        <f>D18^$M$30*M18^$M$31</f>
        <v>0.1</v>
      </c>
      <c r="E32" s="40">
        <f>1-((1-E18)^$M$30*(1-N18)^$M$31)</f>
        <v>0.65</v>
      </c>
      <c r="F32" s="39">
        <f>F18^$M$30*O18^$M$31</f>
        <v>0.79999999999999993</v>
      </c>
      <c r="G32" s="21">
        <f>G18^$M$30*P18^$M$31</f>
        <v>0.85000000000000009</v>
      </c>
      <c r="H32" s="40">
        <f>1-((1-H18)^$M$30*(1-Q18)^$M$31)</f>
        <v>0.44999999999999996</v>
      </c>
      <c r="I32" s="39">
        <f>I18^$M$30*R18^$M$31</f>
        <v>0.79999999999999993</v>
      </c>
      <c r="J32" s="21">
        <f>J18^$M$30*S18^$M$31</f>
        <v>0.70000000000000007</v>
      </c>
      <c r="K32" s="7"/>
      <c r="L32" s="7"/>
      <c r="M32" s="7"/>
      <c r="N32" s="53">
        <f>1/12*(8+(B32+2*C32+D32)-(E32+2*F32+G32)-(H32+2*I32+J32))</f>
        <v>0.23749999999999996</v>
      </c>
      <c r="O32" s="55">
        <f>N32/$N$42</f>
        <v>5.2436713068120575E-2</v>
      </c>
      <c r="P32" s="7"/>
      <c r="Q32" s="7"/>
      <c r="R32" s="7"/>
      <c r="S32" s="7"/>
    </row>
    <row r="33" spans="1:20" ht="14.4" customHeight="1" x14ac:dyDescent="0.3">
      <c r="A33" s="26" t="s">
        <v>4</v>
      </c>
      <c r="B33" s="6">
        <f>1-((1-B19)^$M$30*(1-K19)^$M$31)</f>
        <v>0.27888974490720209</v>
      </c>
      <c r="C33" s="6">
        <f t="shared" ref="C33:C41" si="0">C19^$M$30*L19^$M$31</f>
        <v>0.26457513110645903</v>
      </c>
      <c r="D33" s="22">
        <f t="shared" ref="D33:D41" si="1">D19^$M$30*M19^$M$31</f>
        <v>0.1</v>
      </c>
      <c r="E33" s="7">
        <f t="shared" ref="E33:E41" si="2">1-((1-E19)^$M$30*(1-N19)^$M$31)</f>
        <v>0.58166998673296222</v>
      </c>
      <c r="F33" s="6">
        <f t="shared" ref="F33:F41" si="3">F19^$M$30*O19^$M$31</f>
        <v>0.77459666924148329</v>
      </c>
      <c r="G33" s="22">
        <f t="shared" ref="G33:G41" si="4">G19^$M$30*P19^$M$31</f>
        <v>0.82462112512353214</v>
      </c>
      <c r="H33" s="7">
        <f t="shared" ref="H33:H41" si="5">1-((1-H19)^$M$30*(1-Q19)^$M$31)</f>
        <v>0.47559557591492418</v>
      </c>
      <c r="I33" s="6">
        <f t="shared" ref="I33:I41" si="6">I19^$M$30*R19^$M$31</f>
        <v>0.77459666924148329</v>
      </c>
      <c r="J33" s="22">
        <f t="shared" ref="J33:J41" si="7">J19^$M$30*S19^$M$31</f>
        <v>0.67453687816160213</v>
      </c>
      <c r="K33" s="7"/>
      <c r="L33" s="7"/>
      <c r="M33" s="7"/>
      <c r="N33" s="53">
        <f>1/12*(8+(B33+2*C33+D33)-(E33+2*F33+G33)-(H33+2*I33+J33))</f>
        <v>0.27110248035176387</v>
      </c>
      <c r="O33" s="55">
        <f t="shared" ref="O33:O41" si="8">N33/$N$42</f>
        <v>5.9855675681099958E-2</v>
      </c>
      <c r="P33" s="158" t="s">
        <v>111</v>
      </c>
      <c r="Q33" s="134"/>
      <c r="R33" s="134"/>
      <c r="S33" s="134"/>
      <c r="T33" s="134"/>
    </row>
    <row r="34" spans="1:20" x14ac:dyDescent="0.3">
      <c r="A34" s="26" t="s">
        <v>5</v>
      </c>
      <c r="B34" s="6">
        <f t="shared" ref="B34:B41" si="9">1-((1-B20)^$M$30*(1-K20)^$M$31)</f>
        <v>0.27888974490720209</v>
      </c>
      <c r="C34" s="6">
        <f t="shared" si="0"/>
        <v>0.26457513110645903</v>
      </c>
      <c r="D34" s="22">
        <f t="shared" si="1"/>
        <v>0.1</v>
      </c>
      <c r="E34" s="7">
        <f t="shared" si="2"/>
        <v>0.58166998673296222</v>
      </c>
      <c r="F34" s="6">
        <f t="shared" si="3"/>
        <v>0.77459666924148329</v>
      </c>
      <c r="G34" s="22">
        <f t="shared" si="4"/>
        <v>0.82462112512353214</v>
      </c>
      <c r="H34" s="7">
        <f t="shared" si="5"/>
        <v>0.47559557591492418</v>
      </c>
      <c r="I34" s="6">
        <f t="shared" si="6"/>
        <v>0.77459666924148329</v>
      </c>
      <c r="J34" s="22">
        <f t="shared" si="7"/>
        <v>0.67453687816160213</v>
      </c>
      <c r="K34" s="7"/>
      <c r="L34" s="7"/>
      <c r="M34" s="7"/>
      <c r="N34" s="53">
        <f t="shared" ref="N34:N41" si="10">1/12*(8+(B34+2*C34+D34)-(E34+2*F34+G34)-(H34+2*I34+J34))</f>
        <v>0.27110248035176387</v>
      </c>
      <c r="O34" s="55">
        <f t="shared" si="8"/>
        <v>5.9855675681099958E-2</v>
      </c>
      <c r="P34" s="158"/>
      <c r="Q34" s="134"/>
      <c r="R34" s="134"/>
      <c r="S34" s="134"/>
      <c r="T34" s="134"/>
    </row>
    <row r="35" spans="1:20" x14ac:dyDescent="0.3">
      <c r="A35" s="26" t="s">
        <v>6</v>
      </c>
      <c r="B35" s="6">
        <f t="shared" si="9"/>
        <v>0.30717967697244908</v>
      </c>
      <c r="C35" s="6">
        <f t="shared" si="0"/>
        <v>0.2449489742783178</v>
      </c>
      <c r="D35" s="22">
        <f t="shared" si="1"/>
        <v>0.18708286933869708</v>
      </c>
      <c r="E35" s="7">
        <f t="shared" si="2"/>
        <v>0.58166998673296222</v>
      </c>
      <c r="F35" s="6">
        <f t="shared" si="3"/>
        <v>0.6</v>
      </c>
      <c r="G35" s="22">
        <f t="shared" si="4"/>
        <v>0.71414284285428509</v>
      </c>
      <c r="H35" s="7">
        <f t="shared" si="5"/>
        <v>0.44999999999999996</v>
      </c>
      <c r="I35" s="6">
        <f t="shared" si="6"/>
        <v>0.56568542494923801</v>
      </c>
      <c r="J35" s="22">
        <f t="shared" si="7"/>
        <v>0.64807406984078608</v>
      </c>
      <c r="K35" s="7"/>
      <c r="L35" s="7"/>
      <c r="M35" s="7"/>
      <c r="N35" s="53">
        <f t="shared" si="10"/>
        <v>0.35490856212843935</v>
      </c>
      <c r="O35" s="55">
        <f t="shared" si="8"/>
        <v>7.8358898685255668E-2</v>
      </c>
      <c r="P35" s="158"/>
      <c r="Q35" s="134"/>
      <c r="R35" s="134"/>
      <c r="S35" s="134"/>
      <c r="T35" s="134"/>
    </row>
    <row r="36" spans="1:20" x14ac:dyDescent="0.3">
      <c r="A36" s="26" t="s">
        <v>7</v>
      </c>
      <c r="B36" s="6">
        <f t="shared" si="9"/>
        <v>0.37550020016016006</v>
      </c>
      <c r="C36" s="6">
        <f t="shared" si="0"/>
        <v>0.32403703492039299</v>
      </c>
      <c r="D36" s="22">
        <f t="shared" si="1"/>
        <v>0.18708286933869708</v>
      </c>
      <c r="E36" s="7">
        <f t="shared" si="2"/>
        <v>0.49999999999999989</v>
      </c>
      <c r="F36" s="6">
        <f t="shared" si="3"/>
        <v>0.58094750193111255</v>
      </c>
      <c r="G36" s="22">
        <f t="shared" si="4"/>
        <v>0.69282032302755092</v>
      </c>
      <c r="H36" s="7">
        <f t="shared" si="5"/>
        <v>0.47559557591492418</v>
      </c>
      <c r="I36" s="6">
        <f t="shared" si="6"/>
        <v>0.54772255750516607</v>
      </c>
      <c r="J36" s="22">
        <f t="shared" si="7"/>
        <v>0.62449979983983994</v>
      </c>
      <c r="K36" s="7"/>
      <c r="L36" s="7"/>
      <c r="M36" s="7"/>
      <c r="N36" s="53">
        <f t="shared" si="10"/>
        <v>0.38836677680706422</v>
      </c>
      <c r="O36" s="55">
        <f t="shared" si="8"/>
        <v>8.5746009434201492E-2</v>
      </c>
      <c r="P36" s="7"/>
      <c r="Q36" s="7"/>
      <c r="R36" s="7"/>
      <c r="S36" s="7"/>
    </row>
    <row r="37" spans="1:20" x14ac:dyDescent="0.3">
      <c r="A37" s="26" t="s">
        <v>8</v>
      </c>
      <c r="B37" s="6">
        <f t="shared" si="9"/>
        <v>0.42991228745043097</v>
      </c>
      <c r="C37" s="6">
        <f t="shared" si="0"/>
        <v>0.3968626966596886</v>
      </c>
      <c r="D37" s="22">
        <f t="shared" si="1"/>
        <v>0.22360679774997899</v>
      </c>
      <c r="E37" s="7">
        <f t="shared" si="2"/>
        <v>0.45227744249483381</v>
      </c>
      <c r="F37" s="6">
        <f t="shared" si="3"/>
        <v>0.51234753829797985</v>
      </c>
      <c r="G37" s="22">
        <f t="shared" si="4"/>
        <v>0.63245553203367588</v>
      </c>
      <c r="H37" s="7">
        <f t="shared" si="5"/>
        <v>0.42991228745043097</v>
      </c>
      <c r="I37" s="6">
        <f t="shared" si="6"/>
        <v>0.47434164902525683</v>
      </c>
      <c r="J37" s="22">
        <f t="shared" si="7"/>
        <v>0.54083269131959844</v>
      </c>
      <c r="K37" s="7"/>
      <c r="L37" s="7"/>
      <c r="M37" s="7"/>
      <c r="N37" s="53">
        <f t="shared" si="10"/>
        <v>0.45153234588123115</v>
      </c>
      <c r="O37" s="55">
        <f t="shared" si="8"/>
        <v>9.9692092892418926E-2</v>
      </c>
      <c r="P37" s="7"/>
      <c r="Q37" s="7"/>
      <c r="R37" s="7"/>
      <c r="S37" s="7"/>
    </row>
    <row r="38" spans="1:20" x14ac:dyDescent="0.3">
      <c r="A38" s="26" t="s">
        <v>9</v>
      </c>
      <c r="B38" s="6">
        <f t="shared" si="9"/>
        <v>0.49009804864072148</v>
      </c>
      <c r="C38" s="6">
        <f t="shared" si="0"/>
        <v>0.3968626966596886</v>
      </c>
      <c r="D38" s="22">
        <f t="shared" si="1"/>
        <v>0.22360679774997899</v>
      </c>
      <c r="E38" s="7">
        <f t="shared" si="2"/>
        <v>0.36754446796632412</v>
      </c>
      <c r="F38" s="6">
        <f t="shared" si="3"/>
        <v>0.33541019662496846</v>
      </c>
      <c r="G38" s="22">
        <f t="shared" si="4"/>
        <v>0.44721359549995793</v>
      </c>
      <c r="H38" s="7">
        <f t="shared" si="5"/>
        <v>0.32917960675006308</v>
      </c>
      <c r="I38" s="6">
        <f t="shared" si="6"/>
        <v>0.4330127018922193</v>
      </c>
      <c r="J38" s="22">
        <f t="shared" si="7"/>
        <v>0.31224989991991997</v>
      </c>
      <c r="K38" s="7"/>
      <c r="L38" s="7"/>
      <c r="M38" s="7"/>
      <c r="N38" s="53">
        <f t="shared" si="10"/>
        <v>0.54286640604495295</v>
      </c>
      <c r="O38" s="55">
        <f t="shared" si="8"/>
        <v>0.11985738933937279</v>
      </c>
      <c r="P38" s="7"/>
      <c r="Q38" s="7"/>
      <c r="R38" s="7"/>
      <c r="S38" s="7"/>
    </row>
    <row r="39" spans="1:20" x14ac:dyDescent="0.3">
      <c r="A39" s="26" t="s">
        <v>13</v>
      </c>
      <c r="B39" s="6">
        <f t="shared" si="9"/>
        <v>0.51010205144336429</v>
      </c>
      <c r="C39" s="6">
        <f t="shared" si="0"/>
        <v>0.36742346141747667</v>
      </c>
      <c r="D39" s="22">
        <f t="shared" si="1"/>
        <v>0.41833001326703778</v>
      </c>
      <c r="E39" s="7">
        <f t="shared" si="2"/>
        <v>0.36754446796632412</v>
      </c>
      <c r="F39" s="6">
        <f t="shared" si="3"/>
        <v>0.25980762113533162</v>
      </c>
      <c r="G39" s="22">
        <f t="shared" si="4"/>
        <v>0.3872983346207417</v>
      </c>
      <c r="H39" s="7">
        <f t="shared" si="5"/>
        <v>0.29643763602648554</v>
      </c>
      <c r="I39" s="6">
        <f t="shared" si="6"/>
        <v>0.31622776601683794</v>
      </c>
      <c r="J39" s="22">
        <f t="shared" si="7"/>
        <v>0.30000000000000004</v>
      </c>
      <c r="K39" s="7"/>
      <c r="L39" s="7"/>
      <c r="M39" s="7"/>
      <c r="N39" s="53">
        <f t="shared" si="10"/>
        <v>0.59666064788562201</v>
      </c>
      <c r="O39" s="55">
        <f t="shared" si="8"/>
        <v>0.13173441344091488</v>
      </c>
      <c r="P39" s="7"/>
      <c r="Q39" s="7"/>
      <c r="R39" s="7"/>
      <c r="S39" s="7"/>
    </row>
    <row r="40" spans="1:20" x14ac:dyDescent="0.3">
      <c r="A40" s="26" t="s">
        <v>14</v>
      </c>
      <c r="B40" s="6">
        <f t="shared" si="9"/>
        <v>0.57573593128807143</v>
      </c>
      <c r="C40" s="6">
        <f t="shared" si="0"/>
        <v>0.47434164902525683</v>
      </c>
      <c r="D40" s="22">
        <f t="shared" si="1"/>
        <v>0.52915026221291805</v>
      </c>
      <c r="E40" s="7">
        <f t="shared" si="2"/>
        <v>0.34807975947973502</v>
      </c>
      <c r="F40" s="6">
        <f t="shared" si="3"/>
        <v>0.3</v>
      </c>
      <c r="G40" s="22">
        <f t="shared" si="4"/>
        <v>0.3872983346207417</v>
      </c>
      <c r="H40" s="7">
        <f t="shared" si="5"/>
        <v>0.29643763602648554</v>
      </c>
      <c r="I40" s="6">
        <f t="shared" si="6"/>
        <v>0.24494897427831783</v>
      </c>
      <c r="J40" s="22">
        <f t="shared" si="7"/>
        <v>0.34641016151377546</v>
      </c>
      <c r="K40" s="7"/>
      <c r="L40" s="7"/>
      <c r="M40" s="7"/>
      <c r="N40" s="53">
        <f t="shared" si="10"/>
        <v>0.6321204709461774</v>
      </c>
      <c r="O40" s="55">
        <f t="shared" si="8"/>
        <v>0.13956345161890507</v>
      </c>
      <c r="P40" s="7"/>
      <c r="Q40" s="7"/>
      <c r="R40" s="7"/>
      <c r="S40" s="7"/>
    </row>
    <row r="41" spans="1:20" ht="15" thickBot="1" x14ac:dyDescent="0.35">
      <c r="A41" s="27" t="s">
        <v>15</v>
      </c>
      <c r="B41" s="9">
        <f t="shared" si="9"/>
        <v>0.841886116991581</v>
      </c>
      <c r="C41" s="9">
        <f t="shared" si="0"/>
        <v>0.63639610306789274</v>
      </c>
      <c r="D41" s="23">
        <f t="shared" si="1"/>
        <v>0.68920243760451105</v>
      </c>
      <c r="E41" s="3">
        <f t="shared" si="2"/>
        <v>0.26515307716504655</v>
      </c>
      <c r="F41" s="9">
        <f t="shared" si="3"/>
        <v>0.18708286933869708</v>
      </c>
      <c r="G41" s="23">
        <f t="shared" si="4"/>
        <v>0.15811388300841897</v>
      </c>
      <c r="H41" s="3">
        <f t="shared" si="5"/>
        <v>0.21418831772491442</v>
      </c>
      <c r="I41" s="9">
        <f t="shared" si="6"/>
        <v>0.1224744871391589</v>
      </c>
      <c r="J41" s="23">
        <f t="shared" si="7"/>
        <v>0.15</v>
      </c>
      <c r="K41" s="7"/>
      <c r="L41" s="7"/>
      <c r="M41" s="7"/>
      <c r="N41" s="53">
        <f t="shared" si="10"/>
        <v>0.78310923082314865</v>
      </c>
      <c r="O41" s="55">
        <f t="shared" si="8"/>
        <v>0.17289968015861076</v>
      </c>
      <c r="P41" s="7"/>
      <c r="Q41" s="7"/>
      <c r="R41" s="7"/>
      <c r="S41" s="7"/>
    </row>
    <row r="42" spans="1:20" ht="15" thickBot="1" x14ac:dyDescent="0.35">
      <c r="M42" t="s">
        <v>69</v>
      </c>
      <c r="N42" s="54">
        <f>SUM(N32:N41)</f>
        <v>4.5292694012201631</v>
      </c>
      <c r="O42" s="54">
        <f>SUM(O32:O41)</f>
        <v>1</v>
      </c>
    </row>
    <row r="43" spans="1:20" x14ac:dyDescent="0.3">
      <c r="A43" s="149" t="s">
        <v>30</v>
      </c>
      <c r="B43" s="31" t="s">
        <v>0</v>
      </c>
      <c r="C43" s="31"/>
      <c r="D43" s="31"/>
      <c r="E43" s="31"/>
      <c r="F43" s="31"/>
      <c r="G43" s="31"/>
      <c r="H43" s="31"/>
      <c r="I43" s="31"/>
      <c r="J43" s="31"/>
      <c r="K43" s="31"/>
      <c r="L43" s="28"/>
      <c r="M43" s="28"/>
      <c r="N43" s="28"/>
      <c r="O43" s="28"/>
      <c r="P43" s="28"/>
      <c r="Q43" s="28"/>
    </row>
    <row r="44" spans="1:20" ht="15" thickBot="1" x14ac:dyDescent="0.35">
      <c r="A44" s="150"/>
      <c r="B44" s="32" t="s">
        <v>31</v>
      </c>
      <c r="C44" s="32" t="s">
        <v>32</v>
      </c>
      <c r="D44" s="32" t="s">
        <v>33</v>
      </c>
      <c r="E44" s="32" t="s">
        <v>34</v>
      </c>
      <c r="F44" s="32" t="s">
        <v>35</v>
      </c>
      <c r="G44" s="32" t="s">
        <v>36</v>
      </c>
      <c r="H44" s="32" t="s">
        <v>37</v>
      </c>
      <c r="I44" s="32" t="s">
        <v>38</v>
      </c>
      <c r="J44" s="32" t="s">
        <v>39</v>
      </c>
      <c r="K44" s="32" t="s">
        <v>40</v>
      </c>
      <c r="L44" s="24"/>
      <c r="M44" s="24"/>
      <c r="N44" s="24"/>
      <c r="O44" s="24"/>
      <c r="P44" s="24"/>
      <c r="Q44" s="24"/>
    </row>
    <row r="45" spans="1:20" x14ac:dyDescent="0.3">
      <c r="A45" s="24" t="s">
        <v>41</v>
      </c>
      <c r="B45" s="29" t="s">
        <v>50</v>
      </c>
      <c r="C45" s="29" t="s">
        <v>50</v>
      </c>
      <c r="D45" s="29" t="s">
        <v>50</v>
      </c>
      <c r="E45" s="29" t="s">
        <v>50</v>
      </c>
      <c r="F45" s="29" t="s">
        <v>50</v>
      </c>
      <c r="G45" s="29" t="s">
        <v>50</v>
      </c>
      <c r="H45" s="29" t="s">
        <v>50</v>
      </c>
      <c r="I45" s="29" t="s">
        <v>11</v>
      </c>
      <c r="J45" s="29" t="s">
        <v>50</v>
      </c>
      <c r="K45" s="29" t="s">
        <v>50</v>
      </c>
    </row>
    <row r="46" spans="1:20" x14ac:dyDescent="0.3">
      <c r="A46" s="24" t="s">
        <v>42</v>
      </c>
      <c r="B46" s="29" t="s">
        <v>50</v>
      </c>
      <c r="C46" s="29" t="s">
        <v>11</v>
      </c>
      <c r="D46" s="29" t="s">
        <v>50</v>
      </c>
      <c r="E46" s="29" t="s">
        <v>11</v>
      </c>
      <c r="F46" s="29" t="s">
        <v>11</v>
      </c>
      <c r="G46" s="29" t="s">
        <v>50</v>
      </c>
      <c r="H46" s="29" t="s">
        <v>51</v>
      </c>
      <c r="I46" s="29" t="s">
        <v>50</v>
      </c>
      <c r="J46" s="29" t="s">
        <v>50</v>
      </c>
      <c r="K46" s="29" t="s">
        <v>50</v>
      </c>
    </row>
    <row r="47" spans="1:20" x14ac:dyDescent="0.3">
      <c r="A47" s="24" t="s">
        <v>43</v>
      </c>
      <c r="B47" s="29" t="s">
        <v>51</v>
      </c>
      <c r="C47" s="29" t="s">
        <v>51</v>
      </c>
      <c r="D47" s="29" t="s">
        <v>51</v>
      </c>
      <c r="E47" s="29" t="s">
        <v>51</v>
      </c>
      <c r="F47" s="29" t="s">
        <v>51</v>
      </c>
      <c r="G47" s="29" t="s">
        <v>50</v>
      </c>
      <c r="H47" s="29" t="s">
        <v>50</v>
      </c>
      <c r="I47" s="29" t="s">
        <v>52</v>
      </c>
      <c r="J47" s="29" t="s">
        <v>50</v>
      </c>
      <c r="K47" s="29" t="s">
        <v>50</v>
      </c>
      <c r="M47" s="154" t="s">
        <v>112</v>
      </c>
      <c r="N47" s="154"/>
      <c r="O47" s="154"/>
      <c r="P47" s="154"/>
    </row>
    <row r="48" spans="1:20" x14ac:dyDescent="0.3">
      <c r="A48" s="24" t="s">
        <v>44</v>
      </c>
      <c r="B48" s="29" t="s">
        <v>52</v>
      </c>
      <c r="C48" s="29" t="s">
        <v>51</v>
      </c>
      <c r="D48" s="29" t="s">
        <v>51</v>
      </c>
      <c r="E48" s="29" t="s">
        <v>51</v>
      </c>
      <c r="F48" s="29" t="s">
        <v>51</v>
      </c>
      <c r="G48" s="29" t="s">
        <v>50</v>
      </c>
      <c r="H48" s="29" t="s">
        <v>52</v>
      </c>
      <c r="I48" s="29" t="s">
        <v>51</v>
      </c>
      <c r="J48" s="29" t="s">
        <v>50</v>
      </c>
      <c r="K48" s="29" t="s">
        <v>50</v>
      </c>
      <c r="M48" s="154"/>
      <c r="N48" s="154"/>
      <c r="O48" s="154"/>
      <c r="P48" s="154"/>
    </row>
    <row r="49" spans="1:21" x14ac:dyDescent="0.3">
      <c r="A49" s="24" t="s">
        <v>45</v>
      </c>
      <c r="B49" s="29" t="s">
        <v>11</v>
      </c>
      <c r="C49" s="29" t="s">
        <v>50</v>
      </c>
      <c r="D49" s="29" t="s">
        <v>11</v>
      </c>
      <c r="E49" s="29" t="s">
        <v>11</v>
      </c>
      <c r="F49" s="29" t="s">
        <v>11</v>
      </c>
      <c r="G49" s="29" t="s">
        <v>50</v>
      </c>
      <c r="H49" s="29" t="s">
        <v>11</v>
      </c>
      <c r="I49" s="29" t="s">
        <v>50</v>
      </c>
      <c r="J49" s="29" t="s">
        <v>50</v>
      </c>
      <c r="K49" s="29" t="s">
        <v>50</v>
      </c>
    </row>
    <row r="50" spans="1:21" x14ac:dyDescent="0.3">
      <c r="A50" s="24" t="s">
        <v>46</v>
      </c>
      <c r="B50" s="29" t="s">
        <v>11</v>
      </c>
      <c r="C50" s="29" t="s">
        <v>11</v>
      </c>
      <c r="D50" s="29" t="s">
        <v>50</v>
      </c>
      <c r="E50" s="29" t="s">
        <v>11</v>
      </c>
      <c r="F50" s="29" t="s">
        <v>50</v>
      </c>
      <c r="G50" s="29" t="s">
        <v>50</v>
      </c>
      <c r="H50" s="29" t="s">
        <v>50</v>
      </c>
      <c r="I50" s="29" t="s">
        <v>50</v>
      </c>
      <c r="J50" s="29" t="s">
        <v>50</v>
      </c>
      <c r="K50" s="29" t="s">
        <v>50</v>
      </c>
    </row>
    <row r="51" spans="1:21" x14ac:dyDescent="0.3">
      <c r="A51" s="24" t="s">
        <v>47</v>
      </c>
      <c r="B51" s="29" t="s">
        <v>11</v>
      </c>
      <c r="C51" s="29" t="s">
        <v>11</v>
      </c>
      <c r="D51" s="29" t="s">
        <v>11</v>
      </c>
      <c r="E51" s="29" t="s">
        <v>50</v>
      </c>
      <c r="F51" s="29" t="s">
        <v>50</v>
      </c>
      <c r="G51" s="29" t="s">
        <v>50</v>
      </c>
      <c r="H51" s="29" t="s">
        <v>51</v>
      </c>
      <c r="I51" s="29" t="s">
        <v>50</v>
      </c>
      <c r="J51" s="29" t="s">
        <v>11</v>
      </c>
      <c r="K51" s="29" t="s">
        <v>50</v>
      </c>
    </row>
    <row r="52" spans="1:21" x14ac:dyDescent="0.3">
      <c r="A52" s="24" t="s">
        <v>48</v>
      </c>
      <c r="B52" s="29" t="s">
        <v>11</v>
      </c>
      <c r="C52" s="29" t="s">
        <v>11</v>
      </c>
      <c r="D52" s="29" t="s">
        <v>50</v>
      </c>
      <c r="E52" s="29" t="s">
        <v>50</v>
      </c>
      <c r="F52" s="29" t="s">
        <v>50</v>
      </c>
      <c r="G52" s="29" t="s">
        <v>50</v>
      </c>
      <c r="H52" s="29" t="s">
        <v>50</v>
      </c>
      <c r="I52" s="29" t="s">
        <v>11</v>
      </c>
      <c r="J52" s="29" t="s">
        <v>50</v>
      </c>
      <c r="K52" s="29" t="s">
        <v>50</v>
      </c>
    </row>
    <row r="53" spans="1:21" x14ac:dyDescent="0.3">
      <c r="A53" s="24" t="s">
        <v>49</v>
      </c>
      <c r="B53" s="29" t="s">
        <v>51</v>
      </c>
      <c r="C53" s="29" t="s">
        <v>50</v>
      </c>
      <c r="D53" s="29" t="s">
        <v>11</v>
      </c>
      <c r="E53" s="29" t="s">
        <v>50</v>
      </c>
      <c r="F53" s="29" t="s">
        <v>51</v>
      </c>
      <c r="G53" s="29" t="s">
        <v>50</v>
      </c>
      <c r="H53" s="29" t="s">
        <v>50</v>
      </c>
      <c r="I53" s="29" t="s">
        <v>51</v>
      </c>
      <c r="J53" s="29" t="s">
        <v>11</v>
      </c>
      <c r="K53" s="29" t="s">
        <v>50</v>
      </c>
    </row>
    <row r="54" spans="1:21" ht="15" thickBot="1" x14ac:dyDescent="0.35">
      <c r="A54" s="25" t="s">
        <v>53</v>
      </c>
      <c r="B54" s="30" t="s">
        <v>11</v>
      </c>
      <c r="C54" s="30" t="s">
        <v>51</v>
      </c>
      <c r="D54" s="30" t="s">
        <v>11</v>
      </c>
      <c r="E54" s="30" t="s">
        <v>50</v>
      </c>
      <c r="F54" s="30" t="s">
        <v>50</v>
      </c>
      <c r="G54" s="30" t="s">
        <v>51</v>
      </c>
      <c r="H54" s="30" t="s">
        <v>52</v>
      </c>
      <c r="I54" s="30" t="s">
        <v>52</v>
      </c>
      <c r="J54" s="30" t="s">
        <v>11</v>
      </c>
      <c r="K54" s="30" t="s">
        <v>50</v>
      </c>
    </row>
    <row r="55" spans="1:21" ht="15" thickBot="1" x14ac:dyDescent="0.35"/>
    <row r="56" spans="1:21" ht="15" customHeight="1" thickBot="1" x14ac:dyDescent="0.35">
      <c r="A56" s="114" t="s">
        <v>0</v>
      </c>
      <c r="B56" s="56" t="s">
        <v>54</v>
      </c>
      <c r="C56" s="56"/>
      <c r="D56" s="56"/>
      <c r="E56" s="56" t="s">
        <v>55</v>
      </c>
      <c r="F56" s="56"/>
      <c r="G56" s="56"/>
      <c r="H56" s="56" t="s">
        <v>56</v>
      </c>
      <c r="I56" s="56"/>
      <c r="J56" s="56"/>
      <c r="K56" s="147" t="s">
        <v>57</v>
      </c>
      <c r="L56" s="147"/>
      <c r="M56" s="147"/>
      <c r="N56" s="147" t="s">
        <v>58</v>
      </c>
      <c r="O56" s="147"/>
      <c r="P56" s="147"/>
    </row>
    <row r="57" spans="1:21" ht="15" thickBot="1" x14ac:dyDescent="0.35">
      <c r="A57" s="115"/>
      <c r="B57" s="46"/>
      <c r="C57" s="47"/>
      <c r="D57" s="47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  <row r="58" spans="1:21" x14ac:dyDescent="0.3">
      <c r="A58" s="44" t="s">
        <v>3</v>
      </c>
      <c r="B58" s="39">
        <v>0.88</v>
      </c>
      <c r="C58" s="40">
        <v>0.08</v>
      </c>
      <c r="D58" s="41">
        <v>0.04</v>
      </c>
      <c r="E58" s="39">
        <v>0.88</v>
      </c>
      <c r="F58" s="40">
        <v>0.08</v>
      </c>
      <c r="G58" s="41">
        <v>0.04</v>
      </c>
      <c r="H58" s="39">
        <v>0.5</v>
      </c>
      <c r="I58" s="40">
        <v>0.45</v>
      </c>
      <c r="J58" s="41">
        <v>0.05</v>
      </c>
      <c r="K58" s="39">
        <v>0.35</v>
      </c>
      <c r="L58" s="40">
        <v>0.6</v>
      </c>
      <c r="M58" s="41">
        <v>0.05</v>
      </c>
      <c r="N58" s="6">
        <v>0.75</v>
      </c>
      <c r="O58" s="7">
        <v>0.2</v>
      </c>
      <c r="P58" s="8">
        <v>0.05</v>
      </c>
    </row>
    <row r="59" spans="1:21" x14ac:dyDescent="0.3">
      <c r="A59" s="44" t="s">
        <v>4</v>
      </c>
      <c r="B59" s="6">
        <v>0.88</v>
      </c>
      <c r="C59" s="7">
        <v>0.08</v>
      </c>
      <c r="D59" s="8">
        <v>0.04</v>
      </c>
      <c r="E59" s="6">
        <v>0.75</v>
      </c>
      <c r="F59" s="7">
        <v>0.2</v>
      </c>
      <c r="G59" s="8">
        <v>0.05</v>
      </c>
      <c r="H59" s="6">
        <v>0.5</v>
      </c>
      <c r="I59" s="7">
        <v>0.45</v>
      </c>
      <c r="J59" s="8">
        <v>0.05</v>
      </c>
      <c r="K59" s="6">
        <v>0.5</v>
      </c>
      <c r="L59" s="7">
        <v>0.45</v>
      </c>
      <c r="M59" s="8">
        <v>0.05</v>
      </c>
      <c r="N59" s="6">
        <v>0.88</v>
      </c>
      <c r="O59" s="7">
        <v>0.08</v>
      </c>
      <c r="P59" s="8">
        <v>0.04</v>
      </c>
      <c r="R59" s="161" t="s">
        <v>113</v>
      </c>
      <c r="S59" s="161"/>
      <c r="T59" s="161"/>
      <c r="U59" s="161"/>
    </row>
    <row r="60" spans="1:21" x14ac:dyDescent="0.3">
      <c r="A60" s="44" t="s">
        <v>5</v>
      </c>
      <c r="B60" s="6">
        <v>0.88</v>
      </c>
      <c r="C60" s="7">
        <v>0.08</v>
      </c>
      <c r="D60" s="8">
        <v>0.04</v>
      </c>
      <c r="E60" s="6">
        <v>0.88</v>
      </c>
      <c r="F60" s="7">
        <v>0.08</v>
      </c>
      <c r="G60" s="8">
        <v>0.04</v>
      </c>
      <c r="H60" s="6">
        <v>0.5</v>
      </c>
      <c r="I60" s="7">
        <v>0.45</v>
      </c>
      <c r="J60" s="8">
        <v>0.05</v>
      </c>
      <c r="K60" s="6">
        <v>0.5</v>
      </c>
      <c r="L60" s="7">
        <v>0.45</v>
      </c>
      <c r="M60" s="8">
        <v>0.05</v>
      </c>
      <c r="N60" s="6">
        <v>0.75</v>
      </c>
      <c r="O60" s="7">
        <v>0.2</v>
      </c>
      <c r="P60" s="8">
        <v>0.05</v>
      </c>
      <c r="R60" s="161"/>
      <c r="S60" s="161"/>
      <c r="T60" s="161"/>
      <c r="U60" s="161"/>
    </row>
    <row r="61" spans="1:21" x14ac:dyDescent="0.3">
      <c r="A61" s="44" t="s">
        <v>6</v>
      </c>
      <c r="B61" s="6">
        <v>0.88</v>
      </c>
      <c r="C61" s="7">
        <v>0.08</v>
      </c>
      <c r="D61" s="8">
        <v>0.04</v>
      </c>
      <c r="E61" s="6">
        <v>0.75</v>
      </c>
      <c r="F61" s="7">
        <v>0.2</v>
      </c>
      <c r="G61" s="8">
        <v>0.05</v>
      </c>
      <c r="H61" s="6">
        <v>0.5</v>
      </c>
      <c r="I61" s="7">
        <v>0.45</v>
      </c>
      <c r="J61" s="8">
        <v>0.05</v>
      </c>
      <c r="K61" s="6">
        <v>0.5</v>
      </c>
      <c r="L61" s="7">
        <v>0.45</v>
      </c>
      <c r="M61" s="8">
        <v>0.05</v>
      </c>
      <c r="N61" s="6">
        <v>0.75</v>
      </c>
      <c r="O61" s="7">
        <v>0.2</v>
      </c>
      <c r="P61" s="8">
        <v>0.05</v>
      </c>
      <c r="R61" s="161"/>
      <c r="S61" s="161"/>
      <c r="T61" s="161"/>
      <c r="U61" s="161"/>
    </row>
    <row r="62" spans="1:21" x14ac:dyDescent="0.3">
      <c r="A62" s="44" t="s">
        <v>7</v>
      </c>
      <c r="B62" s="6">
        <v>0.88</v>
      </c>
      <c r="C62" s="7">
        <v>0.08</v>
      </c>
      <c r="D62" s="8">
        <v>0.04</v>
      </c>
      <c r="E62" s="6">
        <v>0.75</v>
      </c>
      <c r="F62" s="7">
        <v>0.2</v>
      </c>
      <c r="G62" s="8">
        <v>0.05</v>
      </c>
      <c r="H62" s="6">
        <v>0.5</v>
      </c>
      <c r="I62" s="7">
        <v>0.45</v>
      </c>
      <c r="J62" s="8">
        <v>0.05</v>
      </c>
      <c r="K62" s="6">
        <v>0.5</v>
      </c>
      <c r="L62" s="7">
        <v>0.45</v>
      </c>
      <c r="M62" s="8">
        <v>0.05</v>
      </c>
      <c r="N62" s="6">
        <v>0.75</v>
      </c>
      <c r="O62" s="7">
        <v>0.2</v>
      </c>
      <c r="P62" s="8">
        <v>0.05</v>
      </c>
      <c r="R62" s="161"/>
      <c r="S62" s="161"/>
      <c r="T62" s="161"/>
      <c r="U62" s="161"/>
    </row>
    <row r="63" spans="1:21" x14ac:dyDescent="0.3">
      <c r="A63" s="44" t="s">
        <v>8</v>
      </c>
      <c r="B63" s="6">
        <v>0.88</v>
      </c>
      <c r="C63" s="7">
        <v>0.08</v>
      </c>
      <c r="D63" s="8">
        <v>0.04</v>
      </c>
      <c r="E63" s="6">
        <v>0.88</v>
      </c>
      <c r="F63" s="7">
        <v>0.08</v>
      </c>
      <c r="G63" s="8">
        <v>0.04</v>
      </c>
      <c r="H63" s="6">
        <v>0.88</v>
      </c>
      <c r="I63" s="7">
        <v>0.08</v>
      </c>
      <c r="J63" s="8">
        <v>0.04</v>
      </c>
      <c r="K63" s="6">
        <v>0.88</v>
      </c>
      <c r="L63" s="7">
        <v>0.08</v>
      </c>
      <c r="M63" s="8">
        <v>0.04</v>
      </c>
      <c r="N63" s="6">
        <v>0.88</v>
      </c>
      <c r="O63" s="7">
        <v>0.08</v>
      </c>
      <c r="P63" s="8">
        <v>0.04</v>
      </c>
    </row>
    <row r="64" spans="1:21" x14ac:dyDescent="0.3">
      <c r="A64" s="44" t="s">
        <v>64</v>
      </c>
      <c r="B64" s="6">
        <v>0.88</v>
      </c>
      <c r="C64" s="7">
        <v>0.08</v>
      </c>
      <c r="D64" s="8">
        <v>0.04</v>
      </c>
      <c r="E64" s="6">
        <v>0.5</v>
      </c>
      <c r="F64" s="7">
        <v>0.45</v>
      </c>
      <c r="G64" s="8">
        <v>0.05</v>
      </c>
      <c r="H64" s="6">
        <v>0.88</v>
      </c>
      <c r="I64" s="7">
        <v>0.08</v>
      </c>
      <c r="J64" s="8">
        <v>0.04</v>
      </c>
      <c r="K64" s="6">
        <v>0.35</v>
      </c>
      <c r="L64" s="7">
        <v>0.6</v>
      </c>
      <c r="M64" s="8">
        <v>0.05</v>
      </c>
      <c r="N64" s="6">
        <v>0.75</v>
      </c>
      <c r="O64" s="7">
        <v>0.2</v>
      </c>
      <c r="P64" s="8">
        <v>0.05</v>
      </c>
    </row>
    <row r="65" spans="1:16" x14ac:dyDescent="0.3">
      <c r="A65" s="44" t="s">
        <v>65</v>
      </c>
      <c r="B65" s="6">
        <v>0.88</v>
      </c>
      <c r="C65" s="7">
        <v>0.08</v>
      </c>
      <c r="D65" s="8">
        <v>0.04</v>
      </c>
      <c r="E65" s="6">
        <v>0.88</v>
      </c>
      <c r="F65" s="7">
        <v>0.08</v>
      </c>
      <c r="G65" s="8">
        <v>0.04</v>
      </c>
      <c r="H65" s="6">
        <v>0.35</v>
      </c>
      <c r="I65" s="7">
        <v>0.6</v>
      </c>
      <c r="J65" s="8">
        <v>0.05</v>
      </c>
      <c r="K65" s="6">
        <v>0.5</v>
      </c>
      <c r="L65" s="7">
        <v>0.45</v>
      </c>
      <c r="M65" s="8">
        <v>0.05</v>
      </c>
      <c r="N65" s="6">
        <v>0.88</v>
      </c>
      <c r="O65" s="7">
        <v>0.08</v>
      </c>
      <c r="P65" s="8">
        <v>0.04</v>
      </c>
    </row>
    <row r="66" spans="1:16" x14ac:dyDescent="0.3">
      <c r="A66" s="44" t="s">
        <v>66</v>
      </c>
      <c r="B66" s="6">
        <v>0.75</v>
      </c>
      <c r="C66" s="7">
        <v>0.2</v>
      </c>
      <c r="D66" s="8">
        <v>0.05</v>
      </c>
      <c r="E66" s="6">
        <v>0.88</v>
      </c>
      <c r="F66" s="7">
        <v>0.08</v>
      </c>
      <c r="G66" s="8">
        <v>0.04</v>
      </c>
      <c r="H66" s="6">
        <v>0.88</v>
      </c>
      <c r="I66" s="7">
        <v>0.08</v>
      </c>
      <c r="J66" s="8">
        <v>0.04</v>
      </c>
      <c r="K66" s="6">
        <v>0.88</v>
      </c>
      <c r="L66" s="7">
        <v>0.08</v>
      </c>
      <c r="M66" s="8">
        <v>0.04</v>
      </c>
      <c r="N66" s="6">
        <v>0.88</v>
      </c>
      <c r="O66" s="7">
        <v>0.08</v>
      </c>
      <c r="P66" s="8">
        <v>0.04</v>
      </c>
    </row>
    <row r="67" spans="1:16" ht="15" thickBot="1" x14ac:dyDescent="0.35">
      <c r="A67" s="44" t="s">
        <v>67</v>
      </c>
      <c r="B67" s="9">
        <v>0.88</v>
      </c>
      <c r="C67" s="3">
        <v>0.08</v>
      </c>
      <c r="D67" s="10">
        <v>0.04</v>
      </c>
      <c r="E67" s="9">
        <v>0.88</v>
      </c>
      <c r="F67" s="3">
        <v>0.08</v>
      </c>
      <c r="G67" s="10">
        <v>0.04</v>
      </c>
      <c r="H67" s="9">
        <v>0.88</v>
      </c>
      <c r="I67" s="3">
        <v>0.08</v>
      </c>
      <c r="J67" s="10">
        <v>0.04</v>
      </c>
      <c r="K67" s="6">
        <v>0.88</v>
      </c>
      <c r="L67" s="7">
        <v>0.08</v>
      </c>
      <c r="M67" s="8">
        <v>0.04</v>
      </c>
      <c r="N67" s="6">
        <v>0.88</v>
      </c>
      <c r="O67" s="7">
        <v>0.08</v>
      </c>
      <c r="P67" s="8">
        <v>0.04</v>
      </c>
    </row>
    <row r="68" spans="1:16" ht="25.95" customHeight="1" thickBot="1" x14ac:dyDescent="0.35">
      <c r="A68" s="114" t="s">
        <v>0</v>
      </c>
      <c r="B68" s="148" t="s">
        <v>59</v>
      </c>
      <c r="C68" s="148"/>
      <c r="D68" s="148"/>
      <c r="E68" s="148" t="s">
        <v>60</v>
      </c>
      <c r="F68" s="148"/>
      <c r="G68" s="148"/>
      <c r="H68" s="148" t="s">
        <v>61</v>
      </c>
      <c r="I68" s="148"/>
      <c r="J68" s="148"/>
      <c r="K68" s="109" t="s">
        <v>62</v>
      </c>
      <c r="L68" s="109"/>
      <c r="M68" s="109"/>
      <c r="N68" s="109" t="s">
        <v>63</v>
      </c>
      <c r="O68" s="109"/>
      <c r="P68" s="109"/>
    </row>
    <row r="69" spans="1:16" ht="15" thickBot="1" x14ac:dyDescent="0.35">
      <c r="A69" s="115"/>
      <c r="B69" s="42"/>
      <c r="C69" s="43"/>
      <c r="D69" s="43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</row>
    <row r="70" spans="1:16" x14ac:dyDescent="0.3">
      <c r="A70" s="44" t="s">
        <v>3</v>
      </c>
      <c r="B70" s="39">
        <v>0.75</v>
      </c>
      <c r="C70" s="40">
        <v>0.2</v>
      </c>
      <c r="D70" s="41">
        <v>0.05</v>
      </c>
      <c r="E70" s="39">
        <v>0.75</v>
      </c>
      <c r="F70" s="40">
        <v>0.2</v>
      </c>
      <c r="G70" s="41">
        <v>0.05</v>
      </c>
      <c r="H70" s="39">
        <v>0.75</v>
      </c>
      <c r="I70" s="40">
        <v>0.2</v>
      </c>
      <c r="J70" s="41">
        <v>0.05</v>
      </c>
      <c r="K70" s="39">
        <v>0.5</v>
      </c>
      <c r="L70" s="40">
        <v>0.45</v>
      </c>
      <c r="M70" s="41">
        <v>0.05</v>
      </c>
      <c r="N70" s="39">
        <v>0.75</v>
      </c>
      <c r="O70" s="40">
        <v>0.2</v>
      </c>
      <c r="P70" s="41">
        <v>0.05</v>
      </c>
    </row>
    <row r="71" spans="1:16" x14ac:dyDescent="0.3">
      <c r="A71" s="44" t="s">
        <v>4</v>
      </c>
      <c r="B71" s="6">
        <v>0.75</v>
      </c>
      <c r="C71" s="7">
        <v>0.2</v>
      </c>
      <c r="D71" s="8">
        <v>0.05</v>
      </c>
      <c r="E71" s="6">
        <v>0.75</v>
      </c>
      <c r="F71" s="7">
        <v>0.2</v>
      </c>
      <c r="G71" s="8">
        <v>0.05</v>
      </c>
      <c r="H71" s="6">
        <v>0.75</v>
      </c>
      <c r="I71" s="7">
        <v>0.2</v>
      </c>
      <c r="J71" s="8">
        <v>0.05</v>
      </c>
      <c r="K71" s="6">
        <v>0.88</v>
      </c>
      <c r="L71" s="7">
        <v>0.08</v>
      </c>
      <c r="M71" s="8">
        <v>0.04</v>
      </c>
      <c r="N71" s="6">
        <v>0.5</v>
      </c>
      <c r="O71" s="7">
        <v>0.45</v>
      </c>
      <c r="P71" s="8">
        <v>0.05</v>
      </c>
    </row>
    <row r="72" spans="1:16" x14ac:dyDescent="0.3">
      <c r="A72" s="44" t="s">
        <v>5</v>
      </c>
      <c r="B72" s="6">
        <v>0.88</v>
      </c>
      <c r="C72" s="7">
        <v>0.08</v>
      </c>
      <c r="D72" s="8">
        <v>0.04</v>
      </c>
      <c r="E72" s="6">
        <v>0.75</v>
      </c>
      <c r="F72" s="7">
        <v>0.2</v>
      </c>
      <c r="G72" s="8">
        <v>0.05</v>
      </c>
      <c r="H72" s="6">
        <v>0.88</v>
      </c>
      <c r="I72" s="7">
        <v>0.08</v>
      </c>
      <c r="J72" s="8">
        <v>0.04</v>
      </c>
      <c r="K72" s="6">
        <v>0.75</v>
      </c>
      <c r="L72" s="7">
        <v>0.2</v>
      </c>
      <c r="M72" s="8">
        <v>0.05</v>
      </c>
      <c r="N72" s="6">
        <v>0.75</v>
      </c>
      <c r="O72" s="7">
        <v>0.2</v>
      </c>
      <c r="P72" s="8">
        <v>0.05</v>
      </c>
    </row>
    <row r="73" spans="1:16" x14ac:dyDescent="0.3">
      <c r="A73" s="44" t="s">
        <v>6</v>
      </c>
      <c r="B73" s="6">
        <v>0.75</v>
      </c>
      <c r="C73" s="7">
        <v>0.2</v>
      </c>
      <c r="D73" s="8">
        <v>0.05</v>
      </c>
      <c r="E73" s="6">
        <v>0.88</v>
      </c>
      <c r="F73" s="7">
        <v>0.08</v>
      </c>
      <c r="G73" s="8">
        <v>0.04</v>
      </c>
      <c r="H73" s="6">
        <v>0.88</v>
      </c>
      <c r="I73" s="7">
        <v>0.08</v>
      </c>
      <c r="J73" s="8">
        <v>0.04</v>
      </c>
      <c r="K73" s="6">
        <v>0.88</v>
      </c>
      <c r="L73" s="7">
        <v>0.08</v>
      </c>
      <c r="M73" s="8">
        <v>0.04</v>
      </c>
      <c r="N73" s="6">
        <v>0.88</v>
      </c>
      <c r="O73" s="7">
        <v>0.08</v>
      </c>
      <c r="P73" s="8">
        <v>0.04</v>
      </c>
    </row>
    <row r="74" spans="1:16" x14ac:dyDescent="0.3">
      <c r="A74" s="44" t="s">
        <v>7</v>
      </c>
      <c r="B74" s="6">
        <v>0.88</v>
      </c>
      <c r="C74" s="7">
        <v>0.08</v>
      </c>
      <c r="D74" s="8">
        <v>0.04</v>
      </c>
      <c r="E74" s="6">
        <v>0.88</v>
      </c>
      <c r="F74" s="7">
        <v>0.08</v>
      </c>
      <c r="G74" s="8">
        <v>0.04</v>
      </c>
      <c r="H74" s="6">
        <v>0.88</v>
      </c>
      <c r="I74" s="7">
        <v>0.08</v>
      </c>
      <c r="J74" s="8">
        <v>0.04</v>
      </c>
      <c r="K74" s="6">
        <v>0.5</v>
      </c>
      <c r="L74" s="7">
        <v>0.45</v>
      </c>
      <c r="M74" s="8">
        <v>0.05</v>
      </c>
      <c r="N74" s="6">
        <v>0.88</v>
      </c>
      <c r="O74" s="7">
        <v>0.08</v>
      </c>
      <c r="P74" s="8">
        <v>0.04</v>
      </c>
    </row>
    <row r="75" spans="1:16" x14ac:dyDescent="0.3">
      <c r="A75" s="44" t="s">
        <v>8</v>
      </c>
      <c r="B75" s="6">
        <v>0.88</v>
      </c>
      <c r="C75" s="7">
        <v>0.08</v>
      </c>
      <c r="D75" s="8">
        <v>0.04</v>
      </c>
      <c r="E75" s="6">
        <v>0.88</v>
      </c>
      <c r="F75" s="7">
        <v>0.08</v>
      </c>
      <c r="G75" s="8">
        <v>0.04</v>
      </c>
      <c r="H75" s="6">
        <v>0.88</v>
      </c>
      <c r="I75" s="7">
        <v>0.08</v>
      </c>
      <c r="J75" s="8">
        <v>0.04</v>
      </c>
      <c r="K75" s="6">
        <v>0.88</v>
      </c>
      <c r="L75" s="7">
        <v>0.08</v>
      </c>
      <c r="M75" s="8">
        <v>0.04</v>
      </c>
      <c r="N75" s="6">
        <v>0.5</v>
      </c>
      <c r="O75" s="7">
        <v>0.45</v>
      </c>
      <c r="P75" s="8">
        <v>0.05</v>
      </c>
    </row>
    <row r="76" spans="1:16" x14ac:dyDescent="0.3">
      <c r="A76" s="44" t="s">
        <v>64</v>
      </c>
      <c r="B76" s="6">
        <v>0.88</v>
      </c>
      <c r="C76" s="7">
        <v>0.08</v>
      </c>
      <c r="D76" s="8">
        <v>0.04</v>
      </c>
      <c r="E76" s="6">
        <v>0.5</v>
      </c>
      <c r="F76" s="7">
        <v>0.45</v>
      </c>
      <c r="G76" s="8">
        <v>0.05</v>
      </c>
      <c r="H76" s="6">
        <v>0.88</v>
      </c>
      <c r="I76" s="7">
        <v>0.08</v>
      </c>
      <c r="J76" s="8">
        <v>0.04</v>
      </c>
      <c r="K76" s="6">
        <v>0.88</v>
      </c>
      <c r="L76" s="7">
        <v>0.08</v>
      </c>
      <c r="M76" s="8">
        <v>0.04</v>
      </c>
      <c r="N76" s="6">
        <v>0.35</v>
      </c>
      <c r="O76" s="7">
        <v>0.6</v>
      </c>
      <c r="P76" s="8">
        <v>0.05</v>
      </c>
    </row>
    <row r="77" spans="1:16" x14ac:dyDescent="0.3">
      <c r="A77" s="44" t="s">
        <v>65</v>
      </c>
      <c r="B77" s="6">
        <v>0.88</v>
      </c>
      <c r="C77" s="7">
        <v>0.08</v>
      </c>
      <c r="D77" s="8">
        <v>0.04</v>
      </c>
      <c r="E77" s="6">
        <v>0.88</v>
      </c>
      <c r="F77" s="7">
        <v>0.08</v>
      </c>
      <c r="G77" s="8">
        <v>0.04</v>
      </c>
      <c r="H77" s="6">
        <v>0.75</v>
      </c>
      <c r="I77" s="7">
        <v>0.2</v>
      </c>
      <c r="J77" s="8">
        <v>0.05</v>
      </c>
      <c r="K77" s="6">
        <v>0.5</v>
      </c>
      <c r="L77" s="7">
        <v>0.45</v>
      </c>
      <c r="M77" s="8">
        <v>0.05</v>
      </c>
      <c r="N77" s="6">
        <v>0.35</v>
      </c>
      <c r="O77" s="7">
        <v>0.6</v>
      </c>
      <c r="P77" s="8">
        <v>0.05</v>
      </c>
    </row>
    <row r="78" spans="1:16" x14ac:dyDescent="0.3">
      <c r="A78" s="44" t="s">
        <v>66</v>
      </c>
      <c r="B78" s="6">
        <v>0.88</v>
      </c>
      <c r="C78" s="7">
        <v>0.08</v>
      </c>
      <c r="D78" s="8">
        <v>0.04</v>
      </c>
      <c r="E78" s="6">
        <v>0.75</v>
      </c>
      <c r="F78" s="7">
        <v>0.2</v>
      </c>
      <c r="G78" s="8">
        <v>0.05</v>
      </c>
      <c r="H78" s="6">
        <v>0.88</v>
      </c>
      <c r="I78" s="7">
        <v>0.08</v>
      </c>
      <c r="J78" s="8">
        <v>0.04</v>
      </c>
      <c r="K78" s="6">
        <v>0.75</v>
      </c>
      <c r="L78" s="7">
        <v>0.2</v>
      </c>
      <c r="M78" s="8">
        <v>0.05</v>
      </c>
      <c r="N78" s="6">
        <v>0.75</v>
      </c>
      <c r="O78" s="7">
        <v>0.2</v>
      </c>
      <c r="P78" s="8">
        <v>0.05</v>
      </c>
    </row>
    <row r="79" spans="1:16" ht="15" thickBot="1" x14ac:dyDescent="0.35">
      <c r="A79" s="45" t="s">
        <v>67</v>
      </c>
      <c r="B79" s="9">
        <v>0.88</v>
      </c>
      <c r="C79" s="3">
        <v>0.08</v>
      </c>
      <c r="D79" s="10">
        <v>0.04</v>
      </c>
      <c r="E79" s="9">
        <v>0.88</v>
      </c>
      <c r="F79" s="3">
        <v>0.08</v>
      </c>
      <c r="G79" s="10">
        <v>0.04</v>
      </c>
      <c r="H79" s="9">
        <v>0.88</v>
      </c>
      <c r="I79" s="3">
        <v>0.08</v>
      </c>
      <c r="J79" s="10">
        <v>0.04</v>
      </c>
      <c r="K79" s="9">
        <v>0.88</v>
      </c>
      <c r="L79" s="3">
        <v>0.08</v>
      </c>
      <c r="M79" s="10">
        <v>0.04</v>
      </c>
      <c r="N79" s="9">
        <v>0.88</v>
      </c>
      <c r="O79" s="3">
        <v>0.08</v>
      </c>
      <c r="P79" s="10">
        <v>0.04</v>
      </c>
    </row>
    <row r="80" spans="1:16" ht="15" thickBot="1" x14ac:dyDescent="0.35"/>
    <row r="81" spans="1:12" ht="15" thickBot="1" x14ac:dyDescent="0.35">
      <c r="A81" s="48" t="s">
        <v>30</v>
      </c>
      <c r="B81" s="58"/>
      <c r="C81" s="58"/>
      <c r="D81" s="58"/>
    </row>
    <row r="82" spans="1:12" x14ac:dyDescent="0.3">
      <c r="A82" s="49" t="s">
        <v>41</v>
      </c>
      <c r="B82" s="57">
        <f>1-((1-B58)^$O$32*(1-B59)^$O$33*(1-B60)^$O$34*(1-B61)^$O$35*(1-B62)^$O$36*(1-B63)^$O$37*(1-B64)^$O$38*(1-B65)^$O$39*(1-B66)^$O$40*(1-B67)^$O$41)</f>
        <v>0.86705612931250609</v>
      </c>
      <c r="C82" s="61">
        <f>C$58^$O$32*C$59^$O$33*C$60^$O$34*C$61^$O$35*C$62^$O$36*C$63^$O$37*C$64^$O$38*C$65^$O$39*C$66^$O$40*C$67^$O$41</f>
        <v>9.0913393348796709E-2</v>
      </c>
      <c r="D82" s="62">
        <f>1-(B82+C82)</f>
        <v>4.2030477338697247E-2</v>
      </c>
    </row>
    <row r="83" spans="1:12" x14ac:dyDescent="0.3">
      <c r="A83" s="50" t="s">
        <v>42</v>
      </c>
      <c r="B83" s="59">
        <f>1-((1-E$58)^$O$32*(1-E$59)^$O$33*(1-E$60)^$O$34*(1-E$61)^$O$35*(1-E$62)^$O$36*(1-E$63)^$O$37*(1-E$64)^$O$38*(1-E$65)^$O$39*(1-E$66)^$O$40*(1-E$67)^$O$41)</f>
        <v>0.83217490290140239</v>
      </c>
      <c r="C83" s="29">
        <f>F$58^$O$32*F$59^$O$33*F$60^$O$34*F$61^$O$35*F$62^$O$36*F$63^$O$37*F$64^$O$38*F$65^$O$39*F$66^$O$40*F$67^$O$41</f>
        <v>0.12081492576989035</v>
      </c>
      <c r="D83" s="63">
        <f t="shared" ref="D83:D91" si="11">1-(B83+C83)</f>
        <v>4.7010171328707218E-2</v>
      </c>
      <c r="F83" s="161" t="s">
        <v>114</v>
      </c>
      <c r="G83" s="161"/>
      <c r="H83" s="161"/>
      <c r="I83" s="161"/>
      <c r="J83" s="161"/>
    </row>
    <row r="84" spans="1:12" x14ac:dyDescent="0.3">
      <c r="A84" s="50" t="s">
        <v>43</v>
      </c>
      <c r="B84" s="59">
        <f>1-((1-H$58)^$O$32*(1-H$59)^$O$33*(1-H$60)^$O$34*(1-H$61)^$O$35*(1-H$62)^$O$36*(1-H$63)^$O$37*(1-H$64)^$O$38*(1-H$65)^$O$39*(1-H$66)^$O$40*(1-H$67)^$O$41)</f>
        <v>0.75776057464079472</v>
      </c>
      <c r="C84" s="29">
        <f>I$58^$O$32*I$59^$O$33*I$60^$O$34*I$61^$O$35*I$62^$O$36*I$63^$O$37*I$64^$O$38*I$65^$O$39*I$66^$O$40*I$67^$O$41</f>
        <v>0.18646468792483425</v>
      </c>
      <c r="D84" s="63">
        <f t="shared" si="11"/>
        <v>5.5774737434371002E-2</v>
      </c>
      <c r="F84" s="161"/>
      <c r="G84" s="161"/>
      <c r="H84" s="161"/>
      <c r="I84" s="161"/>
      <c r="J84" s="161"/>
    </row>
    <row r="85" spans="1:12" x14ac:dyDescent="0.3">
      <c r="A85" s="50" t="s">
        <v>44</v>
      </c>
      <c r="B85" s="59">
        <f>1-((1-K$58)^$O$32*(1-K$59)^$O$33*(1-K$60)^$O$34*(1-K$61)^$O$35*(1-K$62)^$O$36*(1-K$63)^$O$37*(1-K$64)^$O$38*(1-K$65)^$O$39*(1-K$66)^$O$40*(1-K$67)^$O$41)</f>
        <v>0.70949567866664265</v>
      </c>
      <c r="C85" s="29">
        <f>L$58^$O$32*L$59^$O$33*L$60^$O$34*L$61^$O$35*L$62^$O$36*L$63^$O$37*L$64^$O$38*L$65^$O$39*L$66^$O$40*L$67^$O$41</f>
        <v>0.23204477977237878</v>
      </c>
      <c r="D85" s="63">
        <f t="shared" si="11"/>
        <v>5.8459541560978545E-2</v>
      </c>
      <c r="F85" s="161"/>
      <c r="G85" s="161"/>
      <c r="H85" s="161"/>
      <c r="I85" s="161"/>
      <c r="J85" s="161"/>
    </row>
    <row r="86" spans="1:12" x14ac:dyDescent="0.3">
      <c r="A86" s="50" t="s">
        <v>45</v>
      </c>
      <c r="B86" s="59">
        <f>1-((1-N$58)^$O$32*(1-N$59)^$O$33*(1-N$60)^$O$34*(1-N$61)^$O$35*(1-N$62)^$O$36*(1-N$63)^$O$37*(1-N$64)^$O$38*(1-N$65)^$O$39*(1-N$66)^$O$40*(1-N$67)^$O$41)</f>
        <v>0.83949413757109026</v>
      </c>
      <c r="C86" s="29">
        <f>O$58^$O$32*O$59^$O$33*O$60^$O$34*O$61^$O$35*O$62^$O$36*O$63^$O$37*O$64^$O$38*O$65^$O$39*O$66^$O$40*O$67^$O$41</f>
        <v>0.11502058715817248</v>
      </c>
      <c r="D86" s="63">
        <f t="shared" si="11"/>
        <v>4.5485275270737313E-2</v>
      </c>
    </row>
    <row r="87" spans="1:12" x14ac:dyDescent="0.3">
      <c r="A87" s="50" t="s">
        <v>46</v>
      </c>
      <c r="B87" s="59">
        <f>1-((1-B70)^$O$32*(1-B71)^$O$33*(1-B72)^$O$34*(1-B73)^$O$35*(1-B74)^$O$36*(1-B75)^$O$37*(1-B76)^$O$38*(1-B77)^$O$39*(1-B78)^$O$40*(1-B79)^$O$41)</f>
        <v>0.86197650684131388</v>
      </c>
      <c r="C87" s="51">
        <f>C$70^$O$32*C$71^$O$33*C$72^$O$34*C$73^$O$35*C$74^$O$36*C$75^$O$37*C$76^$O$38*C$77^$O$39*C$78^$O$40*C$79^$O$41</f>
        <v>9.527035027521133E-2</v>
      </c>
      <c r="D87" s="63">
        <f t="shared" si="11"/>
        <v>4.275314288347476E-2</v>
      </c>
    </row>
    <row r="88" spans="1:12" x14ac:dyDescent="0.3">
      <c r="A88" s="50" t="s">
        <v>47</v>
      </c>
      <c r="B88" s="59">
        <f>1-((1-E$70)^$O$32*(1-E$71)^$O$33*(1-E$72)^$O$34*(1-E$73)^$O$35*(1-E$74)^$O$36*(1-E$75)^$O$37*(1-E$76)^$O$38*(1-E$77)^$O$39*(1-E$78)^$O$40*(1-E$79)^$O$41)</f>
        <v>0.82101019878764525</v>
      </c>
      <c r="C88" s="29">
        <f>F$70^$O$32*F$71^$O$33*F$72^$O$34*F$73^$O$35*F$74^$O$36*F$75^$O$37*F$76^$O$38*F$77^$O$39*F$78^$O$40*F$79^$O$41</f>
        <v>0.13093031060023513</v>
      </c>
      <c r="D88" s="63">
        <f t="shared" si="11"/>
        <v>4.8059490612119671E-2</v>
      </c>
    </row>
    <row r="89" spans="1:12" x14ac:dyDescent="0.3">
      <c r="A89" s="50" t="s">
        <v>48</v>
      </c>
      <c r="B89" s="59">
        <f>1-((1-H$70)^$O$32*(1-H$71)^$O$33*(1-H$72)^$O$34*(1-H$73)^$O$35*(1-H$74)^$O$36*(1-H$75)^$O$37*(1-H$76)^$O$38*(1-H$77)^$O$39*(1-H$78)^$O$40*(1-H$79)^$O$41)</f>
        <v>0.85646198780264271</v>
      </c>
      <c r="C89" s="29">
        <f>I$70^$O$32*I$71^$O$33*I$72^$O$34*I$73^$O$35*I$74^$O$36*I$75^$O$37*I$76^$O$38*I$77^$O$39*I$78^$O$40*I$79^$O$41</f>
        <v>0.10004560498206125</v>
      </c>
      <c r="D89" s="63">
        <f t="shared" si="11"/>
        <v>4.3492407215296014E-2</v>
      </c>
    </row>
    <row r="90" spans="1:12" x14ac:dyDescent="0.3">
      <c r="A90" s="50" t="s">
        <v>49</v>
      </c>
      <c r="B90" s="59">
        <f>1-((1-K$70)^$O$32*(1-K$71)^$O$33*(1-K$72)^$O$34*(1-K$73)^$O$35*(1-K$74)^$O$36*(1-K$75)^$O$37*(1-K$76)^$O$38*(1-K$77)^$O$39*(1-K$78)^$O$40*(1-K$79)^$O$41)</f>
        <v>0.79580765964680478</v>
      </c>
      <c r="C90" s="29">
        <f>L$70^$O$32*L$71^$O$33*L$72^$O$34*L$73^$O$35*L$74^$O$36*L$75^$O$37*L$76^$O$38*L$77^$O$39*L$78^$O$40*L$79^$O$41</f>
        <v>0.15307975563393014</v>
      </c>
      <c r="D90" s="63">
        <f t="shared" si="11"/>
        <v>5.1112584719265053E-2</v>
      </c>
    </row>
    <row r="91" spans="1:12" ht="15" thickBot="1" x14ac:dyDescent="0.35">
      <c r="A91" s="52" t="s">
        <v>53</v>
      </c>
      <c r="B91" s="60">
        <f>1-((1-N$70)^$O$32*(1-N$71)^$O$33*(1-N$72)^$O$34*(1-N$73)^$O$35*(1-N$74)^$O$36*(1-N$75)^$O$37*(1-N$76)^$O$38*(1-N$77)^$O$39*(1-N$78)^$O$40*(1-N$79)^$O$41)</f>
        <v>0.72270029988125484</v>
      </c>
      <c r="C91" s="30">
        <f>O$70^$O$32*O$71^$O$33*O$72^$O$34*O$73^$O$35*O$74^$O$36*O$75^$O$37*O$76^$O$38*O$77^$O$39*O$78^$O$40*O$79^$O$41</f>
        <v>0.22036982074601458</v>
      </c>
      <c r="D91" s="64">
        <f t="shared" si="11"/>
        <v>5.6929879372730641E-2</v>
      </c>
    </row>
    <row r="92" spans="1:12" x14ac:dyDescent="0.3">
      <c r="A92" s="50" t="s">
        <v>73</v>
      </c>
      <c r="B92" s="59">
        <v>1</v>
      </c>
      <c r="C92" s="59">
        <v>0</v>
      </c>
      <c r="D92" s="66">
        <v>0</v>
      </c>
    </row>
    <row r="93" spans="1:12" ht="15" thickBot="1" x14ac:dyDescent="0.35">
      <c r="A93" s="50" t="s">
        <v>74</v>
      </c>
      <c r="B93" s="59">
        <v>0</v>
      </c>
      <c r="C93" s="59">
        <v>1</v>
      </c>
      <c r="D93" s="67">
        <v>0</v>
      </c>
    </row>
    <row r="94" spans="1:12" ht="27" thickBot="1" x14ac:dyDescent="0.35">
      <c r="A94" s="48" t="s">
        <v>30</v>
      </c>
      <c r="B94" s="65" t="s">
        <v>71</v>
      </c>
      <c r="C94" s="65" t="s">
        <v>72</v>
      </c>
      <c r="D94" s="65" t="s">
        <v>106</v>
      </c>
      <c r="E94" s="92" t="s">
        <v>107</v>
      </c>
    </row>
    <row r="95" spans="1:12" ht="14.4" customHeight="1" x14ac:dyDescent="0.3">
      <c r="A95" s="49" t="s">
        <v>41</v>
      </c>
      <c r="B95" s="66">
        <f>SQRT((B82-$B$92)^2+(C82-$C$92)^2+(D82-$D$92)^2)</f>
        <v>0.166450830183826</v>
      </c>
      <c r="C95" s="66">
        <f>SQRT((B82-$B$93)^2+(C82-$C$93)^2+(D82-$D$93)^2)</f>
        <v>1.2569770685244435</v>
      </c>
      <c r="D95" s="93">
        <f>C95/(B95+C95)</f>
        <v>0.88306339201664064</v>
      </c>
      <c r="E95" s="94">
        <f>D95/$D$105</f>
        <v>0.10682356002784538</v>
      </c>
      <c r="G95" s="161" t="s">
        <v>115</v>
      </c>
      <c r="H95" s="161"/>
      <c r="I95" s="161"/>
      <c r="J95" s="161"/>
      <c r="K95" s="161"/>
      <c r="L95" s="161"/>
    </row>
    <row r="96" spans="1:12" x14ac:dyDescent="0.3">
      <c r="A96" s="50" t="s">
        <v>42</v>
      </c>
      <c r="B96" s="68">
        <f t="shared" ref="B96:B104" si="12">SQRT((B83-$B$92)^2+(C83-$C$92)^2+(D83-$D$92)^2)</f>
        <v>0.21206476773215358</v>
      </c>
      <c r="C96" s="68">
        <f t="shared" ref="C96:C104" si="13">SQRT((B83-$B$93)^2+(C83-$C$93)^2+(D83-$D$93)^2)</f>
        <v>1.2114831488618882</v>
      </c>
      <c r="D96" s="95">
        <f t="shared" ref="D96:D104" si="14">C96/(B96+C96)</f>
        <v>0.85103081866078911</v>
      </c>
      <c r="E96" s="96">
        <f t="shared" ref="E96:E104" si="15">D96/$D$105</f>
        <v>0.10294860206484935</v>
      </c>
      <c r="G96" s="161"/>
      <c r="H96" s="161"/>
      <c r="I96" s="161"/>
      <c r="J96" s="161"/>
      <c r="K96" s="161"/>
      <c r="L96" s="161"/>
    </row>
    <row r="97" spans="1:12" x14ac:dyDescent="0.3">
      <c r="A97" s="50" t="s">
        <v>43</v>
      </c>
      <c r="B97" s="68">
        <f t="shared" si="12"/>
        <v>0.31074079290807127</v>
      </c>
      <c r="C97" s="68">
        <f t="shared" si="13"/>
        <v>1.1131718707410181</v>
      </c>
      <c r="D97" s="95">
        <f t="shared" si="14"/>
        <v>0.78176976661494846</v>
      </c>
      <c r="E97" s="96">
        <f t="shared" si="15"/>
        <v>9.4570141109838829E-2</v>
      </c>
      <c r="G97" s="161"/>
      <c r="H97" s="161"/>
      <c r="I97" s="161"/>
      <c r="J97" s="161"/>
      <c r="K97" s="161"/>
      <c r="L97" s="161"/>
    </row>
    <row r="98" spans="1:12" x14ac:dyDescent="0.3">
      <c r="A98" s="50" t="s">
        <v>44</v>
      </c>
      <c r="B98" s="68">
        <f t="shared" si="12"/>
        <v>0.37637090553400387</v>
      </c>
      <c r="C98" s="68">
        <f t="shared" si="13"/>
        <v>1.0471661073206169</v>
      </c>
      <c r="D98" s="95">
        <f t="shared" si="14"/>
        <v>0.73560862686719553</v>
      </c>
      <c r="E98" s="96">
        <f t="shared" si="15"/>
        <v>8.8986060366171307E-2</v>
      </c>
    </row>
    <row r="99" spans="1:12" x14ac:dyDescent="0.3">
      <c r="A99" s="50" t="s">
        <v>45</v>
      </c>
      <c r="B99" s="68">
        <f t="shared" si="12"/>
        <v>0.20263459134785847</v>
      </c>
      <c r="C99" s="68">
        <f t="shared" si="13"/>
        <v>1.2206587887024569</v>
      </c>
      <c r="D99" s="95">
        <f t="shared" si="14"/>
        <v>0.8576297802068783</v>
      </c>
      <c r="E99" s="96">
        <f t="shared" si="15"/>
        <v>0.10374687382111622</v>
      </c>
    </row>
    <row r="100" spans="1:12" x14ac:dyDescent="0.3">
      <c r="A100" s="50" t="s">
        <v>46</v>
      </c>
      <c r="B100" s="68">
        <f t="shared" si="12"/>
        <v>0.17307442194530692</v>
      </c>
      <c r="C100" s="68">
        <f t="shared" si="13"/>
        <v>1.2503467793631922</v>
      </c>
      <c r="D100" s="95">
        <f t="shared" si="14"/>
        <v>0.87840955172916779</v>
      </c>
      <c r="E100" s="96">
        <f t="shared" si="15"/>
        <v>0.1062605882278554</v>
      </c>
    </row>
    <row r="101" spans="1:12" x14ac:dyDescent="0.3">
      <c r="A101" s="50" t="s">
        <v>47</v>
      </c>
      <c r="B101" s="68">
        <f t="shared" si="12"/>
        <v>0.22691366157595874</v>
      </c>
      <c r="C101" s="68">
        <f t="shared" si="13"/>
        <v>1.1965156021484338</v>
      </c>
      <c r="D101" s="95">
        <f t="shared" si="14"/>
        <v>0.84058662600328948</v>
      </c>
      <c r="E101" s="96">
        <f t="shared" si="15"/>
        <v>0.10168517539426468</v>
      </c>
    </row>
    <row r="102" spans="1:12" x14ac:dyDescent="0.3">
      <c r="A102" s="50" t="s">
        <v>48</v>
      </c>
      <c r="B102" s="68">
        <f t="shared" si="12"/>
        <v>0.18028830662906695</v>
      </c>
      <c r="C102" s="68">
        <f t="shared" si="13"/>
        <v>1.2431156982149083</v>
      </c>
      <c r="D102" s="95">
        <f t="shared" si="14"/>
        <v>0.87334003135053062</v>
      </c>
      <c r="E102" s="96">
        <f t="shared" si="15"/>
        <v>0.10564733189838282</v>
      </c>
    </row>
    <row r="103" spans="1:12" x14ac:dyDescent="0.3">
      <c r="A103" s="50" t="s">
        <v>49</v>
      </c>
      <c r="B103" s="68">
        <f t="shared" si="12"/>
        <v>0.26026989791472799</v>
      </c>
      <c r="C103" s="68">
        <f t="shared" si="13"/>
        <v>1.1632696281543211</v>
      </c>
      <c r="D103" s="95">
        <f t="shared" si="14"/>
        <v>0.8171670732365014</v>
      </c>
      <c r="E103" s="96">
        <f t="shared" si="15"/>
        <v>9.8852128499301639E-2</v>
      </c>
    </row>
    <row r="104" spans="1:12" ht="15" thickBot="1" x14ac:dyDescent="0.35">
      <c r="A104" s="52" t="s">
        <v>53</v>
      </c>
      <c r="B104" s="67">
        <f t="shared" si="12"/>
        <v>0.35874641844479821</v>
      </c>
      <c r="C104" s="67">
        <f t="shared" si="13"/>
        <v>1.064593796251627</v>
      </c>
      <c r="D104" s="97">
        <f t="shared" si="14"/>
        <v>0.74795455454667048</v>
      </c>
      <c r="E104" s="98">
        <f t="shared" si="15"/>
        <v>9.0479538590374456E-2</v>
      </c>
    </row>
    <row r="105" spans="1:12" ht="15" thickBot="1" x14ac:dyDescent="0.35">
      <c r="A105" s="24"/>
      <c r="B105" s="29"/>
      <c r="C105" s="29"/>
      <c r="D105" s="99">
        <f>SUM(D95:D104)</f>
        <v>8.266560221232611</v>
      </c>
    </row>
    <row r="106" spans="1:12" ht="15" thickBot="1" x14ac:dyDescent="0.35"/>
    <row r="107" spans="1:12" ht="15" thickBot="1" x14ac:dyDescent="0.35">
      <c r="A107" s="71" t="s">
        <v>0</v>
      </c>
      <c r="B107" s="69" t="s">
        <v>75</v>
      </c>
      <c r="C107" s="72" t="s">
        <v>76</v>
      </c>
      <c r="D107" s="72" t="s">
        <v>77</v>
      </c>
      <c r="E107" s="72" t="s">
        <v>78</v>
      </c>
      <c r="F107" s="72" t="s">
        <v>79</v>
      </c>
      <c r="G107" s="72" t="s">
        <v>80</v>
      </c>
      <c r="H107" s="72" t="s">
        <v>81</v>
      </c>
      <c r="I107" s="72" t="s">
        <v>82</v>
      </c>
      <c r="J107" s="72" t="s">
        <v>83</v>
      </c>
      <c r="K107" s="72" t="s">
        <v>84</v>
      </c>
      <c r="L107" s="73" t="s">
        <v>85</v>
      </c>
    </row>
    <row r="108" spans="1:12" x14ac:dyDescent="0.3">
      <c r="A108" s="144" t="s">
        <v>31</v>
      </c>
      <c r="B108" s="70" t="s">
        <v>86</v>
      </c>
      <c r="C108" s="61" t="s">
        <v>51</v>
      </c>
      <c r="D108" s="61" t="s">
        <v>11</v>
      </c>
      <c r="E108" s="61" t="s">
        <v>51</v>
      </c>
      <c r="F108" s="61" t="s">
        <v>51</v>
      </c>
      <c r="G108" s="61" t="s">
        <v>11</v>
      </c>
      <c r="H108" s="61" t="s">
        <v>11</v>
      </c>
      <c r="I108" s="61" t="s">
        <v>11</v>
      </c>
      <c r="J108" s="61" t="s">
        <v>11</v>
      </c>
      <c r="K108" s="61" t="s">
        <v>11</v>
      </c>
      <c r="L108" s="62" t="s">
        <v>11</v>
      </c>
    </row>
    <row r="109" spans="1:12" ht="16.2" customHeight="1" x14ac:dyDescent="0.3">
      <c r="A109" s="145"/>
      <c r="B109" s="24" t="s">
        <v>87</v>
      </c>
      <c r="C109" s="29" t="s">
        <v>11</v>
      </c>
      <c r="D109" s="29" t="s">
        <v>11</v>
      </c>
      <c r="E109" s="29" t="s">
        <v>51</v>
      </c>
      <c r="F109" s="29" t="s">
        <v>51</v>
      </c>
      <c r="G109" s="29" t="s">
        <v>11</v>
      </c>
      <c r="H109" s="29" t="s">
        <v>51</v>
      </c>
      <c r="I109" s="29" t="s">
        <v>11</v>
      </c>
      <c r="J109" s="29" t="s">
        <v>11</v>
      </c>
      <c r="K109" s="29" t="s">
        <v>11</v>
      </c>
      <c r="L109" s="63" t="s">
        <v>11</v>
      </c>
    </row>
    <row r="110" spans="1:12" ht="15" thickBot="1" x14ac:dyDescent="0.35">
      <c r="A110" s="146"/>
      <c r="B110" s="25" t="s">
        <v>88</v>
      </c>
      <c r="C110" s="30" t="s">
        <v>50</v>
      </c>
      <c r="D110" s="30" t="s">
        <v>11</v>
      </c>
      <c r="E110" s="30" t="s">
        <v>50</v>
      </c>
      <c r="F110" s="30" t="s">
        <v>50</v>
      </c>
      <c r="G110" s="30" t="s">
        <v>50</v>
      </c>
      <c r="H110" s="30" t="s">
        <v>51</v>
      </c>
      <c r="I110" s="30" t="s">
        <v>11</v>
      </c>
      <c r="J110" s="30" t="s">
        <v>50</v>
      </c>
      <c r="K110" s="30" t="s">
        <v>11</v>
      </c>
      <c r="L110" s="64" t="s">
        <v>50</v>
      </c>
    </row>
    <row r="111" spans="1:12" x14ac:dyDescent="0.3">
      <c r="A111" s="144" t="s">
        <v>89</v>
      </c>
      <c r="B111" s="70" t="s">
        <v>86</v>
      </c>
      <c r="C111" s="61" t="s">
        <v>11</v>
      </c>
      <c r="D111" s="61" t="s">
        <v>11</v>
      </c>
      <c r="E111" s="61" t="s">
        <v>51</v>
      </c>
      <c r="F111" s="61" t="s">
        <v>51</v>
      </c>
      <c r="G111" s="61" t="s">
        <v>50</v>
      </c>
      <c r="H111" s="61" t="s">
        <v>11</v>
      </c>
      <c r="I111" s="61" t="s">
        <v>50</v>
      </c>
      <c r="J111" s="61" t="s">
        <v>11</v>
      </c>
      <c r="K111" s="61" t="s">
        <v>50</v>
      </c>
      <c r="L111" s="62" t="s">
        <v>51</v>
      </c>
    </row>
    <row r="112" spans="1:12" ht="16.2" customHeight="1" x14ac:dyDescent="0.3">
      <c r="A112" s="145"/>
      <c r="B112" s="24" t="s">
        <v>87</v>
      </c>
      <c r="C112" s="29" t="s">
        <v>50</v>
      </c>
      <c r="D112" s="29" t="s">
        <v>50</v>
      </c>
      <c r="E112" s="29" t="s">
        <v>51</v>
      </c>
      <c r="F112" s="29" t="s">
        <v>51</v>
      </c>
      <c r="G112" s="29" t="s">
        <v>50</v>
      </c>
      <c r="H112" s="29" t="s">
        <v>11</v>
      </c>
      <c r="I112" s="29" t="s">
        <v>50</v>
      </c>
      <c r="J112" s="29" t="s">
        <v>11</v>
      </c>
      <c r="K112" s="29" t="s">
        <v>50</v>
      </c>
      <c r="L112" s="63" t="s">
        <v>51</v>
      </c>
    </row>
    <row r="113" spans="1:18" ht="15" thickBot="1" x14ac:dyDescent="0.35">
      <c r="A113" s="146"/>
      <c r="B113" s="25" t="s">
        <v>88</v>
      </c>
      <c r="C113" s="30" t="s">
        <v>51</v>
      </c>
      <c r="D113" s="30" t="s">
        <v>51</v>
      </c>
      <c r="E113" s="30" t="s">
        <v>51</v>
      </c>
      <c r="F113" s="30" t="s">
        <v>51</v>
      </c>
      <c r="G113" s="30" t="s">
        <v>50</v>
      </c>
      <c r="H113" s="30" t="s">
        <v>11</v>
      </c>
      <c r="I113" s="30" t="s">
        <v>50</v>
      </c>
      <c r="J113" s="30" t="s">
        <v>11</v>
      </c>
      <c r="K113" s="30" t="s">
        <v>50</v>
      </c>
      <c r="L113" s="64" t="s">
        <v>51</v>
      </c>
    </row>
    <row r="114" spans="1:18" x14ac:dyDescent="0.3">
      <c r="A114" s="144" t="s">
        <v>90</v>
      </c>
      <c r="B114" s="70" t="s">
        <v>86</v>
      </c>
      <c r="C114" s="61" t="s">
        <v>11</v>
      </c>
      <c r="D114" s="61" t="s">
        <v>11</v>
      </c>
      <c r="E114" s="61" t="s">
        <v>11</v>
      </c>
      <c r="F114" s="61" t="s">
        <v>11</v>
      </c>
      <c r="G114" s="61" t="s">
        <v>11</v>
      </c>
      <c r="H114" s="61" t="s">
        <v>50</v>
      </c>
      <c r="I114" s="61" t="s">
        <v>50</v>
      </c>
      <c r="J114" s="61" t="s">
        <v>50</v>
      </c>
      <c r="K114" s="61" t="s">
        <v>11</v>
      </c>
      <c r="L114" s="62" t="s">
        <v>51</v>
      </c>
    </row>
    <row r="115" spans="1:18" x14ac:dyDescent="0.3">
      <c r="A115" s="145"/>
      <c r="B115" s="24" t="s">
        <v>87</v>
      </c>
      <c r="C115" s="29" t="s">
        <v>11</v>
      </c>
      <c r="D115" s="29" t="s">
        <v>11</v>
      </c>
      <c r="E115" s="29" t="s">
        <v>11</v>
      </c>
      <c r="F115" s="29" t="s">
        <v>11</v>
      </c>
      <c r="G115" s="29" t="s">
        <v>11</v>
      </c>
      <c r="H115" s="29" t="s">
        <v>11</v>
      </c>
      <c r="I115" s="29" t="s">
        <v>11</v>
      </c>
      <c r="J115" s="29" t="s">
        <v>11</v>
      </c>
      <c r="K115" s="29" t="s">
        <v>11</v>
      </c>
      <c r="L115" s="63" t="s">
        <v>51</v>
      </c>
      <c r="N115" s="161" t="s">
        <v>116</v>
      </c>
      <c r="O115" s="161"/>
      <c r="P115" s="161"/>
      <c r="Q115" s="161"/>
      <c r="R115" s="161"/>
    </row>
    <row r="116" spans="1:18" ht="15" thickBot="1" x14ac:dyDescent="0.35">
      <c r="A116" s="146"/>
      <c r="B116" s="25" t="s">
        <v>88</v>
      </c>
      <c r="C116" s="30" t="s">
        <v>50</v>
      </c>
      <c r="D116" s="30" t="s">
        <v>50</v>
      </c>
      <c r="E116" s="30" t="s">
        <v>50</v>
      </c>
      <c r="F116" s="30" t="s">
        <v>50</v>
      </c>
      <c r="G116" s="30" t="s">
        <v>50</v>
      </c>
      <c r="H116" s="30" t="s">
        <v>51</v>
      </c>
      <c r="I116" s="30" t="s">
        <v>51</v>
      </c>
      <c r="J116" s="30" t="s">
        <v>51</v>
      </c>
      <c r="K116" s="30" t="s">
        <v>11</v>
      </c>
      <c r="L116" s="64" t="s">
        <v>51</v>
      </c>
      <c r="N116" s="161"/>
      <c r="O116" s="161"/>
      <c r="P116" s="161"/>
      <c r="Q116" s="161"/>
      <c r="R116" s="161"/>
    </row>
    <row r="117" spans="1:18" x14ac:dyDescent="0.3">
      <c r="A117" s="144" t="s">
        <v>91</v>
      </c>
      <c r="B117" s="70" t="s">
        <v>86</v>
      </c>
      <c r="C117" s="61" t="s">
        <v>51</v>
      </c>
      <c r="D117" s="61" t="s">
        <v>51</v>
      </c>
      <c r="E117" s="61" t="s">
        <v>51</v>
      </c>
      <c r="F117" s="61" t="s">
        <v>51</v>
      </c>
      <c r="G117" s="61" t="s">
        <v>50</v>
      </c>
      <c r="H117" s="61" t="s">
        <v>51</v>
      </c>
      <c r="I117" s="61" t="s">
        <v>51</v>
      </c>
      <c r="J117" s="61" t="s">
        <v>11</v>
      </c>
      <c r="K117" s="61" t="s">
        <v>11</v>
      </c>
      <c r="L117" s="62" t="s">
        <v>11</v>
      </c>
      <c r="N117" s="161"/>
      <c r="O117" s="161"/>
      <c r="P117" s="161"/>
      <c r="Q117" s="161"/>
      <c r="R117" s="161"/>
    </row>
    <row r="118" spans="1:18" x14ac:dyDescent="0.3">
      <c r="A118" s="145"/>
      <c r="B118" s="24" t="s">
        <v>87</v>
      </c>
      <c r="C118" s="29" t="s">
        <v>11</v>
      </c>
      <c r="D118" s="29" t="s">
        <v>11</v>
      </c>
      <c r="E118" s="29" t="s">
        <v>11</v>
      </c>
      <c r="F118" s="29" t="s">
        <v>11</v>
      </c>
      <c r="G118" s="29" t="s">
        <v>11</v>
      </c>
      <c r="H118" s="29" t="s">
        <v>11</v>
      </c>
      <c r="I118" s="29" t="s">
        <v>51</v>
      </c>
      <c r="J118" s="29" t="s">
        <v>11</v>
      </c>
      <c r="K118" s="29" t="s">
        <v>11</v>
      </c>
      <c r="L118" s="63" t="s">
        <v>11</v>
      </c>
    </row>
    <row r="119" spans="1:18" ht="15" thickBot="1" x14ac:dyDescent="0.35">
      <c r="A119" s="146"/>
      <c r="B119" s="25" t="s">
        <v>88</v>
      </c>
      <c r="C119" s="30" t="s">
        <v>50</v>
      </c>
      <c r="D119" s="30" t="s">
        <v>50</v>
      </c>
      <c r="E119" s="30" t="s">
        <v>50</v>
      </c>
      <c r="F119" s="30" t="s">
        <v>50</v>
      </c>
      <c r="G119" s="30" t="s">
        <v>50</v>
      </c>
      <c r="H119" s="30" t="s">
        <v>52</v>
      </c>
      <c r="I119" s="30" t="s">
        <v>51</v>
      </c>
      <c r="J119" s="30" t="s">
        <v>11</v>
      </c>
      <c r="K119" s="30" t="s">
        <v>11</v>
      </c>
      <c r="L119" s="64" t="s">
        <v>11</v>
      </c>
    </row>
    <row r="120" spans="1:18" x14ac:dyDescent="0.3">
      <c r="A120" s="144" t="s">
        <v>92</v>
      </c>
      <c r="B120" s="70" t="s">
        <v>86</v>
      </c>
      <c r="C120" s="61" t="s">
        <v>50</v>
      </c>
      <c r="D120" s="61" t="s">
        <v>11</v>
      </c>
      <c r="E120" s="61" t="s">
        <v>51</v>
      </c>
      <c r="F120" s="61" t="s">
        <v>50</v>
      </c>
      <c r="G120" s="61" t="s">
        <v>50</v>
      </c>
      <c r="H120" s="61" t="s">
        <v>50</v>
      </c>
      <c r="I120" s="61" t="s">
        <v>50</v>
      </c>
      <c r="J120" s="61" t="s">
        <v>50</v>
      </c>
      <c r="K120" s="61" t="s">
        <v>11</v>
      </c>
      <c r="L120" s="62" t="s">
        <v>50</v>
      </c>
    </row>
    <row r="121" spans="1:18" x14ac:dyDescent="0.3">
      <c r="A121" s="145"/>
      <c r="B121" s="24" t="s">
        <v>87</v>
      </c>
      <c r="C121" s="29" t="s">
        <v>50</v>
      </c>
      <c r="D121" s="29" t="s">
        <v>51</v>
      </c>
      <c r="E121" s="29" t="s">
        <v>52</v>
      </c>
      <c r="F121" s="29" t="s">
        <v>51</v>
      </c>
      <c r="G121" s="29" t="s">
        <v>11</v>
      </c>
      <c r="H121" s="29" t="s">
        <v>50</v>
      </c>
      <c r="I121" s="29" t="s">
        <v>50</v>
      </c>
      <c r="J121" s="29" t="s">
        <v>50</v>
      </c>
      <c r="K121" s="29" t="s">
        <v>51</v>
      </c>
      <c r="L121" s="63" t="s">
        <v>50</v>
      </c>
    </row>
    <row r="122" spans="1:18" ht="15" thickBot="1" x14ac:dyDescent="0.35">
      <c r="A122" s="146"/>
      <c r="B122" s="25" t="s">
        <v>88</v>
      </c>
      <c r="C122" s="30" t="s">
        <v>50</v>
      </c>
      <c r="D122" s="30" t="s">
        <v>50</v>
      </c>
      <c r="E122" s="30" t="s">
        <v>50</v>
      </c>
      <c r="F122" s="30" t="s">
        <v>50</v>
      </c>
      <c r="G122" s="30" t="s">
        <v>50</v>
      </c>
      <c r="H122" s="30" t="s">
        <v>50</v>
      </c>
      <c r="I122" s="30" t="s">
        <v>50</v>
      </c>
      <c r="J122" s="30" t="s">
        <v>50</v>
      </c>
      <c r="K122" s="30" t="s">
        <v>50</v>
      </c>
      <c r="L122" s="64" t="s">
        <v>50</v>
      </c>
    </row>
    <row r="123" spans="1:18" x14ac:dyDescent="0.3">
      <c r="A123" s="144" t="s">
        <v>93</v>
      </c>
      <c r="B123" s="70" t="s">
        <v>86</v>
      </c>
      <c r="C123" s="61" t="s">
        <v>50</v>
      </c>
      <c r="D123" s="61" t="s">
        <v>11</v>
      </c>
      <c r="E123" s="61" t="s">
        <v>50</v>
      </c>
      <c r="F123" s="61" t="s">
        <v>11</v>
      </c>
      <c r="G123" s="61" t="s">
        <v>50</v>
      </c>
      <c r="H123" s="61" t="s">
        <v>11</v>
      </c>
      <c r="I123" s="61" t="s">
        <v>50</v>
      </c>
      <c r="J123" s="61" t="s">
        <v>11</v>
      </c>
      <c r="K123" s="61" t="s">
        <v>11</v>
      </c>
      <c r="L123" s="62" t="s">
        <v>50</v>
      </c>
    </row>
    <row r="124" spans="1:18" x14ac:dyDescent="0.3">
      <c r="A124" s="145"/>
      <c r="B124" s="24" t="s">
        <v>87</v>
      </c>
      <c r="C124" s="29" t="s">
        <v>11</v>
      </c>
      <c r="D124" s="29" t="s">
        <v>11</v>
      </c>
      <c r="E124" s="29" t="s">
        <v>50</v>
      </c>
      <c r="F124" s="29" t="s">
        <v>50</v>
      </c>
      <c r="G124" s="29" t="s">
        <v>50</v>
      </c>
      <c r="H124" s="29" t="s">
        <v>11</v>
      </c>
      <c r="I124" s="29" t="s">
        <v>50</v>
      </c>
      <c r="J124" s="29" t="s">
        <v>50</v>
      </c>
      <c r="K124" s="29" t="s">
        <v>11</v>
      </c>
      <c r="L124" s="63" t="s">
        <v>50</v>
      </c>
    </row>
    <row r="125" spans="1:18" ht="15" thickBot="1" x14ac:dyDescent="0.35">
      <c r="A125" s="146"/>
      <c r="B125" s="25" t="s">
        <v>88</v>
      </c>
      <c r="C125" s="30" t="s">
        <v>50</v>
      </c>
      <c r="D125" s="30" t="s">
        <v>11</v>
      </c>
      <c r="E125" s="30" t="s">
        <v>50</v>
      </c>
      <c r="F125" s="30" t="s">
        <v>11</v>
      </c>
      <c r="G125" s="30" t="s">
        <v>11</v>
      </c>
      <c r="H125" s="30" t="s">
        <v>11</v>
      </c>
      <c r="I125" s="30" t="s">
        <v>50</v>
      </c>
      <c r="J125" s="30" t="s">
        <v>11</v>
      </c>
      <c r="K125" s="30" t="s">
        <v>50</v>
      </c>
      <c r="L125" s="64" t="s">
        <v>11</v>
      </c>
    </row>
    <row r="126" spans="1:18" x14ac:dyDescent="0.3">
      <c r="A126" s="144" t="s">
        <v>94</v>
      </c>
      <c r="B126" s="70" t="s">
        <v>86</v>
      </c>
      <c r="C126" s="61" t="s">
        <v>11</v>
      </c>
      <c r="D126" s="61" t="s">
        <v>50</v>
      </c>
      <c r="E126" s="61" t="s">
        <v>50</v>
      </c>
      <c r="F126" s="61" t="s">
        <v>50</v>
      </c>
      <c r="G126" s="61" t="s">
        <v>50</v>
      </c>
      <c r="H126" s="61" t="s">
        <v>51</v>
      </c>
      <c r="I126" s="61" t="s">
        <v>51</v>
      </c>
      <c r="J126" s="61" t="s">
        <v>50</v>
      </c>
      <c r="K126" s="61" t="s">
        <v>11</v>
      </c>
      <c r="L126" s="62" t="s">
        <v>51</v>
      </c>
    </row>
    <row r="127" spans="1:18" x14ac:dyDescent="0.3">
      <c r="A127" s="145"/>
      <c r="B127" s="24" t="s">
        <v>87</v>
      </c>
      <c r="C127" s="29" t="s">
        <v>51</v>
      </c>
      <c r="D127" s="29" t="s">
        <v>51</v>
      </c>
      <c r="E127" s="29" t="s">
        <v>11</v>
      </c>
      <c r="F127" s="29" t="s">
        <v>11</v>
      </c>
      <c r="G127" s="29" t="s">
        <v>50</v>
      </c>
      <c r="H127" s="29" t="s">
        <v>50</v>
      </c>
      <c r="I127" s="29" t="s">
        <v>51</v>
      </c>
      <c r="J127" s="29" t="s">
        <v>50</v>
      </c>
      <c r="K127" s="29" t="s">
        <v>51</v>
      </c>
      <c r="L127" s="63" t="s">
        <v>52</v>
      </c>
    </row>
    <row r="128" spans="1:18" ht="15" thickBot="1" x14ac:dyDescent="0.35">
      <c r="A128" s="146"/>
      <c r="B128" s="25" t="s">
        <v>88</v>
      </c>
      <c r="C128" s="30" t="s">
        <v>50</v>
      </c>
      <c r="D128" s="30" t="s">
        <v>50</v>
      </c>
      <c r="E128" s="30" t="s">
        <v>50</v>
      </c>
      <c r="F128" s="30" t="s">
        <v>50</v>
      </c>
      <c r="G128" s="30" t="s">
        <v>50</v>
      </c>
      <c r="H128" s="30" t="s">
        <v>52</v>
      </c>
      <c r="I128" s="30" t="s">
        <v>51</v>
      </c>
      <c r="J128" s="30" t="s">
        <v>50</v>
      </c>
      <c r="K128" s="30" t="s">
        <v>50</v>
      </c>
      <c r="L128" s="64" t="s">
        <v>50</v>
      </c>
    </row>
    <row r="129" spans="1:17" x14ac:dyDescent="0.3">
      <c r="A129" s="144" t="s">
        <v>13</v>
      </c>
      <c r="B129" s="70" t="s">
        <v>86</v>
      </c>
      <c r="C129" s="61" t="s">
        <v>11</v>
      </c>
      <c r="D129" s="61" t="s">
        <v>11</v>
      </c>
      <c r="E129" s="61" t="s">
        <v>50</v>
      </c>
      <c r="F129" s="61" t="s">
        <v>11</v>
      </c>
      <c r="G129" s="61" t="s">
        <v>50</v>
      </c>
      <c r="H129" s="61" t="s">
        <v>50</v>
      </c>
      <c r="I129" s="61" t="s">
        <v>50</v>
      </c>
      <c r="J129" s="61" t="s">
        <v>11</v>
      </c>
      <c r="K129" s="61" t="s">
        <v>51</v>
      </c>
      <c r="L129" s="62" t="s">
        <v>51</v>
      </c>
    </row>
    <row r="130" spans="1:17" x14ac:dyDescent="0.3">
      <c r="A130" s="145"/>
      <c r="B130" s="24" t="s">
        <v>87</v>
      </c>
      <c r="C130" s="29" t="s">
        <v>51</v>
      </c>
      <c r="D130" s="29" t="s">
        <v>52</v>
      </c>
      <c r="E130" s="29" t="s">
        <v>50</v>
      </c>
      <c r="F130" s="29" t="s">
        <v>95</v>
      </c>
      <c r="G130" s="29" t="s">
        <v>50</v>
      </c>
      <c r="H130" s="29" t="s">
        <v>50</v>
      </c>
      <c r="I130" s="29" t="s">
        <v>50</v>
      </c>
      <c r="J130" s="29" t="s">
        <v>11</v>
      </c>
      <c r="K130" s="29" t="s">
        <v>51</v>
      </c>
      <c r="L130" s="63" t="s">
        <v>52</v>
      </c>
    </row>
    <row r="131" spans="1:17" ht="15" thickBot="1" x14ac:dyDescent="0.35">
      <c r="A131" s="146"/>
      <c r="B131" s="25" t="s">
        <v>88</v>
      </c>
      <c r="C131" s="30" t="s">
        <v>50</v>
      </c>
      <c r="D131" s="30" t="s">
        <v>50</v>
      </c>
      <c r="E131" s="30" t="s">
        <v>52</v>
      </c>
      <c r="F131" s="30" t="s">
        <v>50</v>
      </c>
      <c r="G131" s="30" t="s">
        <v>50</v>
      </c>
      <c r="H131" s="30" t="s">
        <v>95</v>
      </c>
      <c r="I131" s="30" t="s">
        <v>50</v>
      </c>
      <c r="J131" s="30" t="s">
        <v>11</v>
      </c>
      <c r="K131" s="30" t="s">
        <v>52</v>
      </c>
      <c r="L131" s="64" t="s">
        <v>50</v>
      </c>
    </row>
    <row r="132" spans="1:17" x14ac:dyDescent="0.3">
      <c r="A132" s="144" t="s">
        <v>14</v>
      </c>
      <c r="B132" s="70" t="s">
        <v>86</v>
      </c>
      <c r="C132" s="61" t="s">
        <v>50</v>
      </c>
      <c r="D132" s="61" t="s">
        <v>50</v>
      </c>
      <c r="E132" s="61" t="s">
        <v>50</v>
      </c>
      <c r="F132" s="61" t="s">
        <v>50</v>
      </c>
      <c r="G132" s="61" t="s">
        <v>11</v>
      </c>
      <c r="H132" s="61" t="s">
        <v>50</v>
      </c>
      <c r="I132" s="61" t="s">
        <v>50</v>
      </c>
      <c r="J132" s="61" t="s">
        <v>50</v>
      </c>
      <c r="K132" s="61" t="s">
        <v>50</v>
      </c>
      <c r="L132" s="62" t="s">
        <v>50</v>
      </c>
    </row>
    <row r="133" spans="1:17" x14ac:dyDescent="0.3">
      <c r="A133" s="145"/>
      <c r="B133" s="24" t="s">
        <v>87</v>
      </c>
      <c r="C133" s="29" t="s">
        <v>50</v>
      </c>
      <c r="D133" s="29" t="s">
        <v>50</v>
      </c>
      <c r="E133" s="29" t="s">
        <v>50</v>
      </c>
      <c r="F133" s="29" t="s">
        <v>11</v>
      </c>
      <c r="G133" s="29" t="s">
        <v>11</v>
      </c>
      <c r="H133" s="29" t="s">
        <v>50</v>
      </c>
      <c r="I133" s="29" t="s">
        <v>50</v>
      </c>
      <c r="J133" s="29" t="s">
        <v>50</v>
      </c>
      <c r="K133" s="29" t="s">
        <v>11</v>
      </c>
      <c r="L133" s="63" t="s">
        <v>11</v>
      </c>
    </row>
    <row r="134" spans="1:17" ht="15" thickBot="1" x14ac:dyDescent="0.35">
      <c r="A134" s="146"/>
      <c r="B134" s="25" t="s">
        <v>88</v>
      </c>
      <c r="C134" s="30" t="s">
        <v>50</v>
      </c>
      <c r="D134" s="30" t="s">
        <v>50</v>
      </c>
      <c r="E134" s="30" t="s">
        <v>50</v>
      </c>
      <c r="F134" s="30" t="s">
        <v>11</v>
      </c>
      <c r="G134" s="30" t="s">
        <v>50</v>
      </c>
      <c r="H134" s="30" t="s">
        <v>11</v>
      </c>
      <c r="I134" s="30" t="s">
        <v>50</v>
      </c>
      <c r="J134" s="30" t="s">
        <v>50</v>
      </c>
      <c r="K134" s="30" t="s">
        <v>50</v>
      </c>
      <c r="L134" s="64" t="s">
        <v>50</v>
      </c>
    </row>
    <row r="135" spans="1:17" x14ac:dyDescent="0.3">
      <c r="A135" s="144" t="s">
        <v>15</v>
      </c>
      <c r="B135" s="70" t="s">
        <v>86</v>
      </c>
      <c r="C135" s="61" t="s">
        <v>50</v>
      </c>
      <c r="D135" s="61" t="s">
        <v>50</v>
      </c>
      <c r="E135" s="61" t="s">
        <v>11</v>
      </c>
      <c r="F135" s="61" t="s">
        <v>50</v>
      </c>
      <c r="G135" s="61" t="s">
        <v>50</v>
      </c>
      <c r="H135" s="61" t="s">
        <v>50</v>
      </c>
      <c r="I135" s="61" t="s">
        <v>50</v>
      </c>
      <c r="J135" s="61" t="s">
        <v>11</v>
      </c>
      <c r="K135" s="61" t="s">
        <v>50</v>
      </c>
      <c r="L135" s="62" t="s">
        <v>50</v>
      </c>
    </row>
    <row r="136" spans="1:17" x14ac:dyDescent="0.3">
      <c r="A136" s="145"/>
      <c r="B136" s="24" t="s">
        <v>87</v>
      </c>
      <c r="C136" s="29" t="s">
        <v>11</v>
      </c>
      <c r="D136" s="29" t="s">
        <v>11</v>
      </c>
      <c r="E136" s="29" t="s">
        <v>50</v>
      </c>
      <c r="F136" s="29" t="s">
        <v>50</v>
      </c>
      <c r="G136" s="29" t="s">
        <v>11</v>
      </c>
      <c r="H136" s="29" t="s">
        <v>11</v>
      </c>
      <c r="I136" s="29" t="s">
        <v>11</v>
      </c>
      <c r="J136" s="29" t="s">
        <v>11</v>
      </c>
      <c r="K136" s="29" t="s">
        <v>11</v>
      </c>
      <c r="L136" s="63" t="s">
        <v>11</v>
      </c>
    </row>
    <row r="137" spans="1:17" ht="15" thickBot="1" x14ac:dyDescent="0.35">
      <c r="A137" s="146"/>
      <c r="B137" s="25" t="s">
        <v>88</v>
      </c>
      <c r="C137" s="30" t="s">
        <v>11</v>
      </c>
      <c r="D137" s="30" t="s">
        <v>11</v>
      </c>
      <c r="E137" s="30" t="s">
        <v>11</v>
      </c>
      <c r="F137" s="30" t="s">
        <v>50</v>
      </c>
      <c r="G137" s="30" t="s">
        <v>50</v>
      </c>
      <c r="H137" s="30" t="s">
        <v>50</v>
      </c>
      <c r="I137" s="30" t="s">
        <v>50</v>
      </c>
      <c r="J137" s="30" t="s">
        <v>50</v>
      </c>
      <c r="K137" s="30" t="s">
        <v>11</v>
      </c>
      <c r="L137" s="64" t="s">
        <v>51</v>
      </c>
    </row>
    <row r="138" spans="1:17" ht="15" thickBot="1" x14ac:dyDescent="0.35"/>
    <row r="139" spans="1:17" ht="15" thickBot="1" x14ac:dyDescent="0.35">
      <c r="A139" s="116"/>
      <c r="B139" s="114" t="s">
        <v>75</v>
      </c>
      <c r="C139" s="109" t="s">
        <v>54</v>
      </c>
      <c r="D139" s="109"/>
      <c r="E139" s="109"/>
      <c r="F139" s="109" t="s">
        <v>55</v>
      </c>
      <c r="G139" s="109"/>
      <c r="H139" s="109"/>
      <c r="I139" s="109" t="s">
        <v>56</v>
      </c>
      <c r="J139" s="109"/>
      <c r="K139" s="109"/>
      <c r="L139" s="109" t="s">
        <v>57</v>
      </c>
      <c r="M139" s="109"/>
      <c r="N139" s="109"/>
      <c r="O139" s="109" t="s">
        <v>58</v>
      </c>
      <c r="P139" s="109"/>
      <c r="Q139" s="109"/>
    </row>
    <row r="140" spans="1:17" ht="15" thickBot="1" x14ac:dyDescent="0.35">
      <c r="A140" s="117"/>
      <c r="B140" s="115"/>
      <c r="C140" s="75"/>
      <c r="D140" s="76"/>
      <c r="E140" s="76"/>
      <c r="F140" s="75"/>
      <c r="G140" s="75"/>
      <c r="H140" s="75"/>
      <c r="I140" s="76"/>
      <c r="J140" s="76"/>
      <c r="K140" s="76"/>
      <c r="L140" s="75"/>
      <c r="M140" s="75"/>
      <c r="N140" s="75"/>
      <c r="O140" s="75"/>
      <c r="P140" s="75"/>
      <c r="Q140" s="75"/>
    </row>
    <row r="141" spans="1:17" x14ac:dyDescent="0.3">
      <c r="A141" s="111" t="s">
        <v>3</v>
      </c>
      <c r="B141" s="80" t="s">
        <v>96</v>
      </c>
      <c r="C141" s="39">
        <v>0.5</v>
      </c>
      <c r="D141" s="40">
        <v>0.45</v>
      </c>
      <c r="E141" s="41">
        <v>0.05</v>
      </c>
      <c r="F141" s="39">
        <v>0.75</v>
      </c>
      <c r="G141" s="40">
        <v>0.2</v>
      </c>
      <c r="H141" s="41">
        <v>0.05</v>
      </c>
      <c r="I141" s="39">
        <v>0.5</v>
      </c>
      <c r="J141" s="40">
        <v>0.45</v>
      </c>
      <c r="K141" s="41">
        <v>0.05</v>
      </c>
      <c r="L141" s="39">
        <v>0.5</v>
      </c>
      <c r="M141" s="40">
        <v>0.45</v>
      </c>
      <c r="N141" s="41">
        <v>0.05</v>
      </c>
      <c r="O141" s="39">
        <v>0.75</v>
      </c>
      <c r="P141" s="40">
        <v>0.2</v>
      </c>
      <c r="Q141" s="41">
        <v>0.05</v>
      </c>
    </row>
    <row r="142" spans="1:17" x14ac:dyDescent="0.3">
      <c r="A142" s="112"/>
      <c r="B142" s="84" t="s">
        <v>97</v>
      </c>
      <c r="C142" s="6">
        <v>0.75</v>
      </c>
      <c r="D142" s="7">
        <v>0.2</v>
      </c>
      <c r="E142" s="8">
        <v>0.05</v>
      </c>
      <c r="F142" s="6">
        <v>0.75</v>
      </c>
      <c r="G142" s="7">
        <v>0.2</v>
      </c>
      <c r="H142" s="8">
        <v>0.05</v>
      </c>
      <c r="I142" s="6">
        <v>0.5</v>
      </c>
      <c r="J142" s="7">
        <v>0.45</v>
      </c>
      <c r="K142" s="8">
        <v>0.05</v>
      </c>
      <c r="L142" s="6">
        <v>0.5</v>
      </c>
      <c r="M142" s="7">
        <v>0.45</v>
      </c>
      <c r="N142" s="8">
        <v>0.05</v>
      </c>
      <c r="O142" s="6">
        <v>0.75</v>
      </c>
      <c r="P142" s="7">
        <v>0.2</v>
      </c>
      <c r="Q142" s="8">
        <v>0.05</v>
      </c>
    </row>
    <row r="143" spans="1:17" ht="15" thickBot="1" x14ac:dyDescent="0.35">
      <c r="A143" s="112"/>
      <c r="B143" s="84" t="s">
        <v>98</v>
      </c>
      <c r="C143" s="9">
        <v>0.88</v>
      </c>
      <c r="D143" s="3">
        <v>0.08</v>
      </c>
      <c r="E143" s="10">
        <v>0.04</v>
      </c>
      <c r="F143" s="9">
        <v>0.75</v>
      </c>
      <c r="G143" s="3">
        <v>0.2</v>
      </c>
      <c r="H143" s="10">
        <v>0.05</v>
      </c>
      <c r="I143" s="9">
        <v>0.88</v>
      </c>
      <c r="J143" s="3">
        <v>0.08</v>
      </c>
      <c r="K143" s="10">
        <v>0.04</v>
      </c>
      <c r="L143" s="9">
        <v>0.88</v>
      </c>
      <c r="M143" s="3">
        <v>0.08</v>
      </c>
      <c r="N143" s="10">
        <v>0.04</v>
      </c>
      <c r="O143" s="9">
        <v>0.88</v>
      </c>
      <c r="P143" s="3">
        <v>0.08</v>
      </c>
      <c r="Q143" s="10">
        <v>0.04</v>
      </c>
    </row>
    <row r="144" spans="1:17" ht="15" thickBot="1" x14ac:dyDescent="0.35">
      <c r="A144" s="112"/>
      <c r="B144" s="114" t="s">
        <v>75</v>
      </c>
      <c r="C144" s="109" t="s">
        <v>59</v>
      </c>
      <c r="D144" s="109"/>
      <c r="E144" s="109"/>
      <c r="F144" s="109" t="s">
        <v>60</v>
      </c>
      <c r="G144" s="109"/>
      <c r="H144" s="109"/>
      <c r="I144" s="109" t="s">
        <v>61</v>
      </c>
      <c r="J144" s="109"/>
      <c r="K144" s="109"/>
      <c r="L144" s="109" t="s">
        <v>62</v>
      </c>
      <c r="M144" s="109"/>
      <c r="N144" s="109"/>
      <c r="O144" s="109" t="s">
        <v>63</v>
      </c>
      <c r="P144" s="109"/>
      <c r="Q144" s="110"/>
    </row>
    <row r="145" spans="1:23" ht="15" thickBot="1" x14ac:dyDescent="0.35">
      <c r="A145" s="112"/>
      <c r="B145" s="115"/>
      <c r="C145" s="75"/>
      <c r="D145" s="76"/>
      <c r="E145" s="76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86"/>
    </row>
    <row r="146" spans="1:23" x14ac:dyDescent="0.3">
      <c r="A146" s="112"/>
      <c r="B146" s="84" t="s">
        <v>96</v>
      </c>
      <c r="C146" s="39">
        <v>0.75</v>
      </c>
      <c r="D146" s="40">
        <v>0.2</v>
      </c>
      <c r="E146" s="41">
        <v>0.05</v>
      </c>
      <c r="F146" s="39">
        <v>0.75</v>
      </c>
      <c r="G146" s="40">
        <v>0.2</v>
      </c>
      <c r="H146" s="41">
        <v>0.05</v>
      </c>
      <c r="I146" s="39">
        <v>0.75</v>
      </c>
      <c r="J146" s="40">
        <v>0.2</v>
      </c>
      <c r="K146" s="41">
        <v>0.05</v>
      </c>
      <c r="L146" s="39">
        <v>0.75</v>
      </c>
      <c r="M146" s="40">
        <v>0.2</v>
      </c>
      <c r="N146" s="41">
        <v>0.05</v>
      </c>
      <c r="O146" s="39">
        <v>0.75</v>
      </c>
      <c r="P146" s="40">
        <v>0.2</v>
      </c>
      <c r="Q146" s="41">
        <v>0.05</v>
      </c>
    </row>
    <row r="147" spans="1:23" x14ac:dyDescent="0.3">
      <c r="A147" s="112"/>
      <c r="B147" s="84" t="s">
        <v>97</v>
      </c>
      <c r="C147" s="6">
        <v>0.5</v>
      </c>
      <c r="D147" s="7">
        <v>0.45</v>
      </c>
      <c r="E147" s="8">
        <v>0.05</v>
      </c>
      <c r="F147" s="6">
        <v>0.75</v>
      </c>
      <c r="G147" s="7">
        <v>0.2</v>
      </c>
      <c r="H147" s="8">
        <v>0.05</v>
      </c>
      <c r="I147" s="6">
        <v>0.75</v>
      </c>
      <c r="J147" s="7">
        <v>0.2</v>
      </c>
      <c r="K147" s="8">
        <v>0.05</v>
      </c>
      <c r="L147" s="6">
        <v>0.75</v>
      </c>
      <c r="M147" s="7">
        <v>0.2</v>
      </c>
      <c r="N147" s="8">
        <v>0.05</v>
      </c>
      <c r="O147" s="6">
        <v>0.75</v>
      </c>
      <c r="P147" s="7">
        <v>0.2</v>
      </c>
      <c r="Q147" s="8">
        <v>0.05</v>
      </c>
    </row>
    <row r="148" spans="1:23" ht="15" thickBot="1" x14ac:dyDescent="0.35">
      <c r="A148" s="113"/>
      <c r="B148" s="77" t="s">
        <v>98</v>
      </c>
      <c r="C148" s="9">
        <v>0.5</v>
      </c>
      <c r="D148" s="3">
        <v>0.45</v>
      </c>
      <c r="E148" s="10">
        <v>0.05</v>
      </c>
      <c r="F148" s="9">
        <v>0.75</v>
      </c>
      <c r="G148" s="3">
        <v>0.2</v>
      </c>
      <c r="H148" s="10">
        <v>0.05</v>
      </c>
      <c r="I148" s="9">
        <v>0.88</v>
      </c>
      <c r="J148" s="3">
        <v>0.08</v>
      </c>
      <c r="K148" s="10">
        <v>0.04</v>
      </c>
      <c r="L148" s="9">
        <v>0.75</v>
      </c>
      <c r="M148" s="3">
        <v>0.2</v>
      </c>
      <c r="N148" s="10">
        <v>0.05</v>
      </c>
      <c r="O148" s="9">
        <v>0.88</v>
      </c>
      <c r="P148" s="3">
        <v>0.08</v>
      </c>
      <c r="Q148" s="10">
        <v>0.04</v>
      </c>
    </row>
    <row r="149" spans="1:23" ht="15" thickBot="1" x14ac:dyDescent="0.35">
      <c r="A149" s="116" t="s">
        <v>0</v>
      </c>
      <c r="B149" s="114" t="s">
        <v>75</v>
      </c>
      <c r="C149" s="109" t="s">
        <v>54</v>
      </c>
      <c r="D149" s="109"/>
      <c r="E149" s="109"/>
      <c r="F149" s="109" t="s">
        <v>55</v>
      </c>
      <c r="G149" s="109"/>
      <c r="H149" s="109"/>
      <c r="I149" s="109" t="s">
        <v>56</v>
      </c>
      <c r="J149" s="109"/>
      <c r="K149" s="109"/>
      <c r="L149" s="109" t="s">
        <v>57</v>
      </c>
      <c r="M149" s="109"/>
      <c r="N149" s="109"/>
      <c r="O149" s="109" t="s">
        <v>58</v>
      </c>
      <c r="P149" s="109"/>
      <c r="Q149" s="109"/>
    </row>
    <row r="150" spans="1:23" ht="15" thickBot="1" x14ac:dyDescent="0.35">
      <c r="A150" s="117"/>
      <c r="B150" s="115"/>
      <c r="C150" s="89"/>
      <c r="D150" s="90"/>
      <c r="E150" s="90"/>
      <c r="F150" s="89"/>
      <c r="G150" s="89"/>
      <c r="H150" s="89"/>
      <c r="I150" s="89"/>
      <c r="J150" s="89"/>
      <c r="K150" s="89"/>
      <c r="L150" s="75"/>
      <c r="M150" s="75"/>
      <c r="N150" s="75"/>
      <c r="O150" s="75"/>
      <c r="P150" s="75"/>
      <c r="Q150" s="75"/>
    </row>
    <row r="151" spans="1:23" x14ac:dyDescent="0.3">
      <c r="A151" s="111" t="s">
        <v>89</v>
      </c>
      <c r="B151" s="80" t="s">
        <v>96</v>
      </c>
      <c r="C151" s="39">
        <v>0.75</v>
      </c>
      <c r="D151" s="40">
        <v>0.2</v>
      </c>
      <c r="E151" s="40">
        <v>0.05</v>
      </c>
      <c r="F151" s="39">
        <v>0.75</v>
      </c>
      <c r="G151" s="40">
        <v>0.2</v>
      </c>
      <c r="H151" s="41">
        <v>0.05</v>
      </c>
      <c r="I151" s="40">
        <v>0.5</v>
      </c>
      <c r="J151" s="40">
        <v>0.45</v>
      </c>
      <c r="K151" s="41">
        <v>0.05</v>
      </c>
      <c r="L151" s="40">
        <v>0.5</v>
      </c>
      <c r="M151" s="40">
        <v>0.45</v>
      </c>
      <c r="N151" s="41">
        <v>0.05</v>
      </c>
      <c r="O151" s="6">
        <v>0.88</v>
      </c>
      <c r="P151" s="7">
        <v>0.08</v>
      </c>
      <c r="Q151" s="8">
        <v>0.04</v>
      </c>
      <c r="S151" s="161" t="s">
        <v>117</v>
      </c>
      <c r="T151" s="161"/>
      <c r="U151" s="161"/>
      <c r="V151" s="161"/>
      <c r="W151" s="161"/>
    </row>
    <row r="152" spans="1:23" x14ac:dyDescent="0.3">
      <c r="A152" s="112"/>
      <c r="B152" s="84" t="s">
        <v>97</v>
      </c>
      <c r="C152" s="6">
        <v>0.88</v>
      </c>
      <c r="D152" s="7">
        <v>0.08</v>
      </c>
      <c r="E152" s="7">
        <v>0.04</v>
      </c>
      <c r="F152" s="6">
        <v>0.88</v>
      </c>
      <c r="G152" s="7">
        <v>0.08</v>
      </c>
      <c r="H152" s="8">
        <v>0.04</v>
      </c>
      <c r="I152" s="7">
        <v>0.5</v>
      </c>
      <c r="J152" s="7">
        <v>0.45</v>
      </c>
      <c r="K152" s="8">
        <v>0.05</v>
      </c>
      <c r="L152" s="7">
        <v>0.5</v>
      </c>
      <c r="M152" s="7">
        <v>0.45</v>
      </c>
      <c r="N152" s="8">
        <v>0.05</v>
      </c>
      <c r="O152" s="6">
        <v>0.88</v>
      </c>
      <c r="P152" s="7">
        <v>0.08</v>
      </c>
      <c r="Q152" s="8">
        <v>0.04</v>
      </c>
      <c r="S152" s="161"/>
      <c r="T152" s="161"/>
      <c r="U152" s="161"/>
      <c r="V152" s="161"/>
      <c r="W152" s="161"/>
    </row>
    <row r="153" spans="1:23" ht="15" customHeight="1" thickBot="1" x14ac:dyDescent="0.35">
      <c r="A153" s="112"/>
      <c r="B153" s="84" t="s">
        <v>98</v>
      </c>
      <c r="C153" s="9">
        <v>0.5</v>
      </c>
      <c r="D153" s="3">
        <v>0.45</v>
      </c>
      <c r="E153" s="3">
        <v>0.05</v>
      </c>
      <c r="F153" s="9">
        <v>0.5</v>
      </c>
      <c r="G153" s="3">
        <v>0.45</v>
      </c>
      <c r="H153" s="10">
        <v>0.05</v>
      </c>
      <c r="I153" s="3">
        <v>0.5</v>
      </c>
      <c r="J153" s="3">
        <v>0.45</v>
      </c>
      <c r="K153" s="10">
        <v>0.05</v>
      </c>
      <c r="L153" s="3">
        <v>0.5</v>
      </c>
      <c r="M153" s="3">
        <v>0.45</v>
      </c>
      <c r="N153" s="10">
        <v>0.05</v>
      </c>
      <c r="O153" s="6">
        <v>0.88</v>
      </c>
      <c r="P153" s="7">
        <v>0.08</v>
      </c>
      <c r="Q153" s="8">
        <v>0.04</v>
      </c>
      <c r="S153" s="161"/>
      <c r="T153" s="161"/>
      <c r="U153" s="161"/>
      <c r="V153" s="161"/>
      <c r="W153" s="161"/>
    </row>
    <row r="154" spans="1:23" ht="15" customHeight="1" thickBot="1" x14ac:dyDescent="0.35">
      <c r="A154" s="112"/>
      <c r="B154" s="114" t="s">
        <v>75</v>
      </c>
      <c r="C154" s="118" t="s">
        <v>59</v>
      </c>
      <c r="D154" s="118"/>
      <c r="E154" s="118"/>
      <c r="F154" s="118" t="s">
        <v>60</v>
      </c>
      <c r="G154" s="118"/>
      <c r="H154" s="118"/>
      <c r="I154" s="118" t="s">
        <v>61</v>
      </c>
      <c r="J154" s="118"/>
      <c r="K154" s="118"/>
      <c r="L154" s="109" t="s">
        <v>62</v>
      </c>
      <c r="M154" s="109"/>
      <c r="N154" s="109"/>
      <c r="O154" s="109" t="s">
        <v>63</v>
      </c>
      <c r="P154" s="109"/>
      <c r="Q154" s="110"/>
      <c r="S154" s="161"/>
      <c r="T154" s="161"/>
      <c r="U154" s="161"/>
      <c r="V154" s="161"/>
      <c r="W154" s="161"/>
    </row>
    <row r="155" spans="1:23" ht="15" thickBot="1" x14ac:dyDescent="0.35">
      <c r="A155" s="112"/>
      <c r="B155" s="115"/>
      <c r="C155" s="89"/>
      <c r="D155" s="90"/>
      <c r="E155" s="90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86"/>
      <c r="S155" s="161"/>
      <c r="T155" s="161"/>
      <c r="U155" s="161"/>
      <c r="V155" s="161"/>
      <c r="W155" s="161"/>
    </row>
    <row r="156" spans="1:23" x14ac:dyDescent="0.3">
      <c r="A156" s="112"/>
      <c r="B156" s="84" t="s">
        <v>96</v>
      </c>
      <c r="C156" s="39">
        <v>0.75</v>
      </c>
      <c r="D156" s="40">
        <v>0.2</v>
      </c>
      <c r="E156" s="41">
        <v>0.05</v>
      </c>
      <c r="F156" s="6">
        <v>0.88</v>
      </c>
      <c r="G156" s="7">
        <v>0.08</v>
      </c>
      <c r="H156" s="8">
        <v>0.04</v>
      </c>
      <c r="I156" s="39">
        <v>0.75</v>
      </c>
      <c r="J156" s="40">
        <v>0.2</v>
      </c>
      <c r="K156" s="41">
        <v>0.05</v>
      </c>
      <c r="L156" s="6">
        <v>0.88</v>
      </c>
      <c r="M156" s="7">
        <v>0.08</v>
      </c>
      <c r="N156" s="8">
        <v>0.04</v>
      </c>
      <c r="O156" s="40">
        <v>0.5</v>
      </c>
      <c r="P156" s="40">
        <v>0.45</v>
      </c>
      <c r="Q156" s="41">
        <v>0.05</v>
      </c>
      <c r="S156" s="161"/>
      <c r="T156" s="161"/>
      <c r="U156" s="161"/>
      <c r="V156" s="161"/>
      <c r="W156" s="161"/>
    </row>
    <row r="157" spans="1:23" x14ac:dyDescent="0.3">
      <c r="A157" s="112"/>
      <c r="B157" s="84" t="s">
        <v>97</v>
      </c>
      <c r="C157" s="6">
        <v>0.75</v>
      </c>
      <c r="D157" s="7">
        <v>0.2</v>
      </c>
      <c r="E157" s="8">
        <v>0.05</v>
      </c>
      <c r="F157" s="6">
        <v>0.88</v>
      </c>
      <c r="G157" s="7">
        <v>0.08</v>
      </c>
      <c r="H157" s="8">
        <v>0.04</v>
      </c>
      <c r="I157" s="6">
        <v>0.75</v>
      </c>
      <c r="J157" s="7">
        <v>0.2</v>
      </c>
      <c r="K157" s="8">
        <v>0.05</v>
      </c>
      <c r="L157" s="6">
        <v>0.88</v>
      </c>
      <c r="M157" s="7">
        <v>0.08</v>
      </c>
      <c r="N157" s="8">
        <v>0.04</v>
      </c>
      <c r="O157" s="7">
        <v>0.5</v>
      </c>
      <c r="P157" s="7">
        <v>0.45</v>
      </c>
      <c r="Q157" s="8">
        <v>0.05</v>
      </c>
    </row>
    <row r="158" spans="1:23" ht="15" thickBot="1" x14ac:dyDescent="0.35">
      <c r="A158" s="113"/>
      <c r="B158" s="77" t="s">
        <v>98</v>
      </c>
      <c r="C158" s="9">
        <v>0.75</v>
      </c>
      <c r="D158" s="3">
        <v>0.2</v>
      </c>
      <c r="E158" s="10">
        <v>0.05</v>
      </c>
      <c r="F158" s="6">
        <v>0.88</v>
      </c>
      <c r="G158" s="7">
        <v>0.08</v>
      </c>
      <c r="H158" s="8">
        <v>0.04</v>
      </c>
      <c r="I158" s="9">
        <v>0.75</v>
      </c>
      <c r="J158" s="3">
        <v>0.2</v>
      </c>
      <c r="K158" s="10">
        <v>0.05</v>
      </c>
      <c r="L158" s="6">
        <v>0.88</v>
      </c>
      <c r="M158" s="7">
        <v>0.08</v>
      </c>
      <c r="N158" s="8">
        <v>0.04</v>
      </c>
      <c r="O158" s="3">
        <v>0.5</v>
      </c>
      <c r="P158" s="3">
        <v>0.45</v>
      </c>
      <c r="Q158" s="10">
        <v>0.05</v>
      </c>
    </row>
    <row r="159" spans="1:23" ht="15" thickBot="1" x14ac:dyDescent="0.35">
      <c r="A159" s="116" t="s">
        <v>0</v>
      </c>
      <c r="B159" s="114" t="s">
        <v>75</v>
      </c>
      <c r="C159" s="118" t="s">
        <v>54</v>
      </c>
      <c r="D159" s="118"/>
      <c r="E159" s="118"/>
      <c r="F159" s="109" t="s">
        <v>55</v>
      </c>
      <c r="G159" s="109"/>
      <c r="H159" s="109"/>
      <c r="I159" s="109" t="s">
        <v>56</v>
      </c>
      <c r="J159" s="109"/>
      <c r="K159" s="109"/>
      <c r="L159" s="109" t="s">
        <v>57</v>
      </c>
      <c r="M159" s="109"/>
      <c r="N159" s="109"/>
      <c r="O159" s="109" t="s">
        <v>58</v>
      </c>
      <c r="P159" s="109"/>
      <c r="Q159" s="109"/>
    </row>
    <row r="160" spans="1:23" ht="15" thickBot="1" x14ac:dyDescent="0.35">
      <c r="A160" s="117"/>
      <c r="B160" s="115"/>
      <c r="C160" s="89"/>
      <c r="D160" s="90"/>
      <c r="E160" s="90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</row>
    <row r="161" spans="1:17" x14ac:dyDescent="0.3">
      <c r="A161" s="111" t="s">
        <v>90</v>
      </c>
      <c r="B161" s="80" t="s">
        <v>96</v>
      </c>
      <c r="C161" s="39">
        <v>0.75</v>
      </c>
      <c r="D161" s="40">
        <v>0.2</v>
      </c>
      <c r="E161" s="41">
        <v>0.05</v>
      </c>
      <c r="F161" s="39">
        <v>0.75</v>
      </c>
      <c r="G161" s="40">
        <v>0.2</v>
      </c>
      <c r="H161" s="41">
        <v>0.05</v>
      </c>
      <c r="I161" s="39">
        <v>0.75</v>
      </c>
      <c r="J161" s="40">
        <v>0.2</v>
      </c>
      <c r="K161" s="41">
        <v>0.05</v>
      </c>
      <c r="L161" s="39">
        <v>0.75</v>
      </c>
      <c r="M161" s="40">
        <v>0.2</v>
      </c>
      <c r="N161" s="41">
        <v>0.05</v>
      </c>
      <c r="O161" s="6">
        <v>0.75</v>
      </c>
      <c r="P161" s="7">
        <v>0.2</v>
      </c>
      <c r="Q161" s="8">
        <v>0.05</v>
      </c>
    </row>
    <row r="162" spans="1:17" x14ac:dyDescent="0.3">
      <c r="A162" s="112"/>
      <c r="B162" s="84" t="s">
        <v>97</v>
      </c>
      <c r="C162" s="6">
        <v>0.75</v>
      </c>
      <c r="D162" s="7">
        <v>0.2</v>
      </c>
      <c r="E162" s="8">
        <v>0.05</v>
      </c>
      <c r="F162" s="6">
        <v>0.75</v>
      </c>
      <c r="G162" s="7">
        <v>0.2</v>
      </c>
      <c r="H162" s="8">
        <v>0.05</v>
      </c>
      <c r="I162" s="6">
        <v>0.75</v>
      </c>
      <c r="J162" s="7">
        <v>0.2</v>
      </c>
      <c r="K162" s="8">
        <v>0.05</v>
      </c>
      <c r="L162" s="6">
        <v>0.75</v>
      </c>
      <c r="M162" s="7">
        <v>0.2</v>
      </c>
      <c r="N162" s="8">
        <v>0.05</v>
      </c>
      <c r="O162" s="6">
        <v>0.75</v>
      </c>
      <c r="P162" s="7">
        <v>0.2</v>
      </c>
      <c r="Q162" s="8">
        <v>0.05</v>
      </c>
    </row>
    <row r="163" spans="1:17" ht="15" thickBot="1" x14ac:dyDescent="0.35">
      <c r="A163" s="112"/>
      <c r="B163" s="84" t="s">
        <v>98</v>
      </c>
      <c r="C163" s="9">
        <v>0.88</v>
      </c>
      <c r="D163" s="3">
        <v>0.08</v>
      </c>
      <c r="E163" s="10">
        <v>0.04</v>
      </c>
      <c r="F163" s="9">
        <v>0.88</v>
      </c>
      <c r="G163" s="3">
        <v>0.08</v>
      </c>
      <c r="H163" s="10">
        <v>0.04</v>
      </c>
      <c r="I163" s="9">
        <v>0.88</v>
      </c>
      <c r="J163" s="3">
        <v>0.08</v>
      </c>
      <c r="K163" s="10">
        <v>0.04</v>
      </c>
      <c r="L163" s="9">
        <v>0.88</v>
      </c>
      <c r="M163" s="3">
        <v>0.08</v>
      </c>
      <c r="N163" s="10">
        <v>0.04</v>
      </c>
      <c r="O163" s="9">
        <v>0.88</v>
      </c>
      <c r="P163" s="3">
        <v>0.08</v>
      </c>
      <c r="Q163" s="10">
        <v>0.04</v>
      </c>
    </row>
    <row r="164" spans="1:17" ht="15" thickBot="1" x14ac:dyDescent="0.35">
      <c r="A164" s="112"/>
      <c r="B164" s="114" t="s">
        <v>75</v>
      </c>
      <c r="C164" s="109" t="s">
        <v>59</v>
      </c>
      <c r="D164" s="109"/>
      <c r="E164" s="109"/>
      <c r="F164" s="109" t="s">
        <v>60</v>
      </c>
      <c r="G164" s="109"/>
      <c r="H164" s="109"/>
      <c r="I164" s="109" t="s">
        <v>61</v>
      </c>
      <c r="J164" s="109"/>
      <c r="K164" s="109"/>
      <c r="L164" s="109" t="s">
        <v>62</v>
      </c>
      <c r="M164" s="109"/>
      <c r="N164" s="109"/>
      <c r="O164" s="109" t="s">
        <v>63</v>
      </c>
      <c r="P164" s="109"/>
      <c r="Q164" s="110"/>
    </row>
    <row r="165" spans="1:17" ht="15" thickBot="1" x14ac:dyDescent="0.35">
      <c r="A165" s="112"/>
      <c r="B165" s="115"/>
      <c r="C165" s="75"/>
      <c r="D165" s="76"/>
      <c r="E165" s="76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86"/>
    </row>
    <row r="166" spans="1:17" x14ac:dyDescent="0.3">
      <c r="A166" s="112"/>
      <c r="B166" s="84" t="s">
        <v>96</v>
      </c>
      <c r="C166" s="39">
        <v>0.88</v>
      </c>
      <c r="D166" s="40">
        <v>0.08</v>
      </c>
      <c r="E166" s="41">
        <v>0.04</v>
      </c>
      <c r="F166" s="39">
        <v>0.88</v>
      </c>
      <c r="G166" s="40">
        <v>0.08</v>
      </c>
      <c r="H166" s="41">
        <v>0.04</v>
      </c>
      <c r="I166" s="39">
        <v>0.88</v>
      </c>
      <c r="J166" s="40">
        <v>0.08</v>
      </c>
      <c r="K166" s="41">
        <v>0.04</v>
      </c>
      <c r="L166" s="6">
        <v>0.75</v>
      </c>
      <c r="M166" s="7">
        <v>0.2</v>
      </c>
      <c r="N166" s="8">
        <v>0.05</v>
      </c>
      <c r="O166" s="7">
        <v>0.5</v>
      </c>
      <c r="P166" s="7">
        <v>0.45</v>
      </c>
      <c r="Q166" s="8">
        <v>0.05</v>
      </c>
    </row>
    <row r="167" spans="1:17" x14ac:dyDescent="0.3">
      <c r="A167" s="112"/>
      <c r="B167" s="84" t="s">
        <v>97</v>
      </c>
      <c r="C167" s="6">
        <v>0.75</v>
      </c>
      <c r="D167" s="7">
        <v>0.2</v>
      </c>
      <c r="E167" s="8">
        <v>0.05</v>
      </c>
      <c r="F167" s="6">
        <v>0.75</v>
      </c>
      <c r="G167" s="7">
        <v>0.2</v>
      </c>
      <c r="H167" s="8">
        <v>0.05</v>
      </c>
      <c r="I167" s="6">
        <v>0.75</v>
      </c>
      <c r="J167" s="7">
        <v>0.2</v>
      </c>
      <c r="K167" s="8">
        <v>0.05</v>
      </c>
      <c r="L167" s="6">
        <v>0.75</v>
      </c>
      <c r="M167" s="7">
        <v>0.2</v>
      </c>
      <c r="N167" s="8">
        <v>0.05</v>
      </c>
      <c r="O167" s="7">
        <v>0.5</v>
      </c>
      <c r="P167" s="7">
        <v>0.45</v>
      </c>
      <c r="Q167" s="8">
        <v>0.05</v>
      </c>
    </row>
    <row r="168" spans="1:17" ht="15" thickBot="1" x14ac:dyDescent="0.35">
      <c r="A168" s="113"/>
      <c r="B168" s="77" t="s">
        <v>98</v>
      </c>
      <c r="C168" s="9">
        <v>0.5</v>
      </c>
      <c r="D168" s="3">
        <v>0.45</v>
      </c>
      <c r="E168" s="10">
        <v>0.05</v>
      </c>
      <c r="F168" s="9">
        <v>0.5</v>
      </c>
      <c r="G168" s="3">
        <v>0.45</v>
      </c>
      <c r="H168" s="10">
        <v>0.05</v>
      </c>
      <c r="I168" s="9">
        <v>0.5</v>
      </c>
      <c r="J168" s="3">
        <v>0.45</v>
      </c>
      <c r="K168" s="10">
        <v>0.05</v>
      </c>
      <c r="L168" s="6">
        <v>0.75</v>
      </c>
      <c r="M168" s="7">
        <v>0.2</v>
      </c>
      <c r="N168" s="8">
        <v>0.05</v>
      </c>
      <c r="O168" s="7">
        <v>0.5</v>
      </c>
      <c r="P168" s="7">
        <v>0.45</v>
      </c>
      <c r="Q168" s="8">
        <v>0.05</v>
      </c>
    </row>
    <row r="169" spans="1:17" ht="15" thickBot="1" x14ac:dyDescent="0.35">
      <c r="A169" s="116" t="s">
        <v>0</v>
      </c>
      <c r="B169" s="114" t="s">
        <v>75</v>
      </c>
      <c r="C169" s="109" t="s">
        <v>54</v>
      </c>
      <c r="D169" s="109"/>
      <c r="E169" s="109"/>
      <c r="F169" s="109" t="s">
        <v>55</v>
      </c>
      <c r="G169" s="109"/>
      <c r="H169" s="109"/>
      <c r="I169" s="109" t="s">
        <v>56</v>
      </c>
      <c r="J169" s="109"/>
      <c r="K169" s="109"/>
      <c r="L169" s="109" t="s">
        <v>57</v>
      </c>
      <c r="M169" s="109"/>
      <c r="N169" s="109"/>
      <c r="O169" s="109" t="s">
        <v>58</v>
      </c>
      <c r="P169" s="109"/>
      <c r="Q169" s="109"/>
    </row>
    <row r="170" spans="1:17" ht="15" thickBot="1" x14ac:dyDescent="0.35">
      <c r="A170" s="117"/>
      <c r="B170" s="115"/>
      <c r="C170" s="75"/>
      <c r="D170" s="76"/>
      <c r="E170" s="76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</row>
    <row r="171" spans="1:17" x14ac:dyDescent="0.3">
      <c r="A171" s="111" t="s">
        <v>91</v>
      </c>
      <c r="B171" s="80" t="s">
        <v>96</v>
      </c>
      <c r="C171" s="39">
        <v>0.5</v>
      </c>
      <c r="D171" s="40">
        <v>0.45</v>
      </c>
      <c r="E171" s="41">
        <v>0.05</v>
      </c>
      <c r="F171" s="39">
        <v>0.5</v>
      </c>
      <c r="G171" s="40">
        <v>0.45</v>
      </c>
      <c r="H171" s="41">
        <v>0.05</v>
      </c>
      <c r="I171" s="39">
        <v>0.5</v>
      </c>
      <c r="J171" s="40">
        <v>0.45</v>
      </c>
      <c r="K171" s="41">
        <v>0.05</v>
      </c>
      <c r="L171" s="39">
        <v>0.5</v>
      </c>
      <c r="M171" s="40">
        <v>0.45</v>
      </c>
      <c r="N171" s="41">
        <v>0.05</v>
      </c>
      <c r="O171" s="39">
        <v>0.88</v>
      </c>
      <c r="P171" s="40">
        <v>0.08</v>
      </c>
      <c r="Q171" s="41">
        <v>0.04</v>
      </c>
    </row>
    <row r="172" spans="1:17" x14ac:dyDescent="0.3">
      <c r="A172" s="112"/>
      <c r="B172" s="84" t="s">
        <v>97</v>
      </c>
      <c r="C172" s="6">
        <v>0.75</v>
      </c>
      <c r="D172" s="7">
        <v>0.2</v>
      </c>
      <c r="E172" s="8">
        <v>0.05</v>
      </c>
      <c r="F172" s="6">
        <v>0.75</v>
      </c>
      <c r="G172" s="7">
        <v>0.2</v>
      </c>
      <c r="H172" s="8">
        <v>0.05</v>
      </c>
      <c r="I172" s="6">
        <v>0.75</v>
      </c>
      <c r="J172" s="7">
        <v>0.2</v>
      </c>
      <c r="K172" s="8">
        <v>0.05</v>
      </c>
      <c r="L172" s="6">
        <v>0.75</v>
      </c>
      <c r="M172" s="7">
        <v>0.2</v>
      </c>
      <c r="N172" s="8">
        <v>0.05</v>
      </c>
      <c r="O172" s="6">
        <v>0.75</v>
      </c>
      <c r="P172" s="7">
        <v>0.2</v>
      </c>
      <c r="Q172" s="8">
        <v>0.05</v>
      </c>
    </row>
    <row r="173" spans="1:17" ht="15" thickBot="1" x14ac:dyDescent="0.35">
      <c r="A173" s="112"/>
      <c r="B173" s="84" t="s">
        <v>98</v>
      </c>
      <c r="C173" s="9">
        <v>0.88</v>
      </c>
      <c r="D173" s="3">
        <v>0.08</v>
      </c>
      <c r="E173" s="10">
        <v>0.04</v>
      </c>
      <c r="F173" s="9">
        <v>0.88</v>
      </c>
      <c r="G173" s="3">
        <v>0.08</v>
      </c>
      <c r="H173" s="10">
        <v>0.04</v>
      </c>
      <c r="I173" s="9">
        <v>0.88</v>
      </c>
      <c r="J173" s="3">
        <v>0.08</v>
      </c>
      <c r="K173" s="10">
        <v>0.04</v>
      </c>
      <c r="L173" s="9">
        <v>0.88</v>
      </c>
      <c r="M173" s="3">
        <v>0.08</v>
      </c>
      <c r="N173" s="10">
        <v>0.04</v>
      </c>
      <c r="O173" s="9">
        <v>0.88</v>
      </c>
      <c r="P173" s="3">
        <v>0.08</v>
      </c>
      <c r="Q173" s="10">
        <v>0.04</v>
      </c>
    </row>
    <row r="174" spans="1:17" ht="15" thickBot="1" x14ac:dyDescent="0.35">
      <c r="A174" s="112"/>
      <c r="B174" s="114" t="s">
        <v>75</v>
      </c>
      <c r="C174" s="109" t="s">
        <v>59</v>
      </c>
      <c r="D174" s="109"/>
      <c r="E174" s="109"/>
      <c r="F174" s="109" t="s">
        <v>60</v>
      </c>
      <c r="G174" s="109"/>
      <c r="H174" s="109"/>
      <c r="I174" s="109" t="s">
        <v>61</v>
      </c>
      <c r="J174" s="109"/>
      <c r="K174" s="109"/>
      <c r="L174" s="109" t="s">
        <v>62</v>
      </c>
      <c r="M174" s="109"/>
      <c r="N174" s="109"/>
      <c r="O174" s="109" t="s">
        <v>63</v>
      </c>
      <c r="P174" s="109"/>
      <c r="Q174" s="110"/>
    </row>
    <row r="175" spans="1:17" ht="15" thickBot="1" x14ac:dyDescent="0.35">
      <c r="A175" s="112"/>
      <c r="B175" s="115"/>
      <c r="C175" s="75"/>
      <c r="D175" s="76"/>
      <c r="E175" s="76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86"/>
    </row>
    <row r="176" spans="1:17" x14ac:dyDescent="0.3">
      <c r="A176" s="112"/>
      <c r="B176" s="84" t="s">
        <v>96</v>
      </c>
      <c r="C176" s="39">
        <v>0.5</v>
      </c>
      <c r="D176" s="40">
        <v>0.45</v>
      </c>
      <c r="E176" s="41">
        <v>0.05</v>
      </c>
      <c r="F176" s="39">
        <v>0.5</v>
      </c>
      <c r="G176" s="40">
        <v>0.45</v>
      </c>
      <c r="H176" s="41">
        <v>0.05</v>
      </c>
      <c r="I176" s="6">
        <v>0.75</v>
      </c>
      <c r="J176" s="7">
        <v>0.2</v>
      </c>
      <c r="K176" s="8">
        <v>0.05</v>
      </c>
      <c r="L176" s="6">
        <v>0.75</v>
      </c>
      <c r="M176" s="7">
        <v>0.2</v>
      </c>
      <c r="N176" s="8">
        <v>0.05</v>
      </c>
      <c r="O176" s="6">
        <v>0.75</v>
      </c>
      <c r="P176" s="7">
        <v>0.2</v>
      </c>
      <c r="Q176" s="8">
        <v>0.05</v>
      </c>
    </row>
    <row r="177" spans="1:17" x14ac:dyDescent="0.3">
      <c r="A177" s="112"/>
      <c r="B177" s="84" t="s">
        <v>97</v>
      </c>
      <c r="C177" s="6">
        <v>0.75</v>
      </c>
      <c r="D177" s="7">
        <v>0.2</v>
      </c>
      <c r="E177" s="8">
        <v>0.05</v>
      </c>
      <c r="F177" s="7">
        <v>0.5</v>
      </c>
      <c r="G177" s="7">
        <v>0.45</v>
      </c>
      <c r="H177" s="8">
        <v>0.05</v>
      </c>
      <c r="I177" s="6">
        <v>0.75</v>
      </c>
      <c r="J177" s="7">
        <v>0.2</v>
      </c>
      <c r="K177" s="8">
        <v>0.05</v>
      </c>
      <c r="L177" s="6">
        <v>0.75</v>
      </c>
      <c r="M177" s="7">
        <v>0.2</v>
      </c>
      <c r="N177" s="8">
        <v>0.05</v>
      </c>
      <c r="O177" s="6">
        <v>0.75</v>
      </c>
      <c r="P177" s="7">
        <v>0.2</v>
      </c>
      <c r="Q177" s="8">
        <v>0.05</v>
      </c>
    </row>
    <row r="178" spans="1:17" ht="15" thickBot="1" x14ac:dyDescent="0.35">
      <c r="A178" s="113"/>
      <c r="B178" s="77" t="s">
        <v>98</v>
      </c>
      <c r="C178" s="9">
        <v>0.35</v>
      </c>
      <c r="D178" s="3">
        <v>0.6</v>
      </c>
      <c r="E178" s="10">
        <v>0.05</v>
      </c>
      <c r="F178" s="9">
        <v>0.5</v>
      </c>
      <c r="G178" s="3">
        <v>0.45</v>
      </c>
      <c r="H178" s="10">
        <v>0.05</v>
      </c>
      <c r="I178" s="6">
        <v>0.75</v>
      </c>
      <c r="J178" s="7">
        <v>0.2</v>
      </c>
      <c r="K178" s="8">
        <v>0.05</v>
      </c>
      <c r="L178" s="6">
        <v>0.75</v>
      </c>
      <c r="M178" s="7">
        <v>0.2</v>
      </c>
      <c r="N178" s="8">
        <v>0.05</v>
      </c>
      <c r="O178" s="6">
        <v>0.75</v>
      </c>
      <c r="P178" s="7">
        <v>0.2</v>
      </c>
      <c r="Q178" s="8">
        <v>0.05</v>
      </c>
    </row>
    <row r="179" spans="1:17" ht="15" thickBot="1" x14ac:dyDescent="0.35">
      <c r="A179" s="116" t="s">
        <v>0</v>
      </c>
      <c r="B179" s="114" t="s">
        <v>75</v>
      </c>
      <c r="C179" s="109" t="s">
        <v>54</v>
      </c>
      <c r="D179" s="109"/>
      <c r="E179" s="109"/>
      <c r="F179" s="109" t="s">
        <v>55</v>
      </c>
      <c r="G179" s="109"/>
      <c r="H179" s="109"/>
      <c r="I179" s="109" t="s">
        <v>56</v>
      </c>
      <c r="J179" s="109"/>
      <c r="K179" s="109"/>
      <c r="L179" s="109" t="s">
        <v>57</v>
      </c>
      <c r="M179" s="109"/>
      <c r="N179" s="109"/>
      <c r="O179" s="109" t="s">
        <v>58</v>
      </c>
      <c r="P179" s="109"/>
      <c r="Q179" s="109"/>
    </row>
    <row r="180" spans="1:17" ht="15" thickBot="1" x14ac:dyDescent="0.35">
      <c r="A180" s="117"/>
      <c r="B180" s="115"/>
      <c r="C180" s="75"/>
      <c r="D180" s="76"/>
      <c r="E180" s="76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</row>
    <row r="181" spans="1:17" x14ac:dyDescent="0.3">
      <c r="A181" s="111" t="s">
        <v>92</v>
      </c>
      <c r="B181" s="80" t="s">
        <v>96</v>
      </c>
      <c r="C181" s="6">
        <v>0.88</v>
      </c>
      <c r="D181" s="7">
        <v>0.08</v>
      </c>
      <c r="E181" s="8">
        <v>0.04</v>
      </c>
      <c r="F181" s="6">
        <v>0.75</v>
      </c>
      <c r="G181" s="7">
        <v>0.2</v>
      </c>
      <c r="H181" s="8">
        <v>0.05</v>
      </c>
      <c r="I181" s="39">
        <v>0.5</v>
      </c>
      <c r="J181" s="40">
        <v>0.45</v>
      </c>
      <c r="K181" s="41">
        <v>0.05</v>
      </c>
      <c r="L181" s="6">
        <v>0.88</v>
      </c>
      <c r="M181" s="7">
        <v>0.08</v>
      </c>
      <c r="N181" s="8">
        <v>0.04</v>
      </c>
      <c r="O181" s="6">
        <v>0.88</v>
      </c>
      <c r="P181" s="7">
        <v>0.08</v>
      </c>
      <c r="Q181" s="8">
        <v>0.04</v>
      </c>
    </row>
    <row r="182" spans="1:17" x14ac:dyDescent="0.3">
      <c r="A182" s="112"/>
      <c r="B182" s="84" t="s">
        <v>97</v>
      </c>
      <c r="C182" s="6">
        <v>0.88</v>
      </c>
      <c r="D182" s="7">
        <v>0.08</v>
      </c>
      <c r="E182" s="8">
        <v>0.04</v>
      </c>
      <c r="F182" s="7">
        <v>0.5</v>
      </c>
      <c r="G182" s="7">
        <v>0.45</v>
      </c>
      <c r="H182" s="8">
        <v>0.05</v>
      </c>
      <c r="I182" s="6">
        <v>0.35</v>
      </c>
      <c r="J182" s="7">
        <v>0.6</v>
      </c>
      <c r="K182" s="8">
        <v>0.05</v>
      </c>
      <c r="L182" s="7">
        <v>0.5</v>
      </c>
      <c r="M182" s="7">
        <v>0.45</v>
      </c>
      <c r="N182" s="8">
        <v>0.05</v>
      </c>
      <c r="O182" s="6">
        <v>0.75</v>
      </c>
      <c r="P182" s="7">
        <v>0.2</v>
      </c>
      <c r="Q182" s="8">
        <v>0.05</v>
      </c>
    </row>
    <row r="183" spans="1:17" ht="15" thickBot="1" x14ac:dyDescent="0.35">
      <c r="A183" s="112"/>
      <c r="B183" s="84" t="s">
        <v>98</v>
      </c>
      <c r="C183" s="6">
        <v>0.88</v>
      </c>
      <c r="D183" s="7">
        <v>0.08</v>
      </c>
      <c r="E183" s="8">
        <v>0.04</v>
      </c>
      <c r="F183" s="6">
        <v>0.88</v>
      </c>
      <c r="G183" s="7">
        <v>0.08</v>
      </c>
      <c r="H183" s="8">
        <v>0.04</v>
      </c>
      <c r="I183" s="9">
        <v>0.88</v>
      </c>
      <c r="J183" s="3">
        <v>0.08</v>
      </c>
      <c r="K183" s="10">
        <v>0.04</v>
      </c>
      <c r="L183" s="6">
        <v>0.88</v>
      </c>
      <c r="M183" s="7">
        <v>0.08</v>
      </c>
      <c r="N183" s="8">
        <v>0.04</v>
      </c>
      <c r="O183" s="6">
        <v>0.88</v>
      </c>
      <c r="P183" s="7">
        <v>0.08</v>
      </c>
      <c r="Q183" s="8">
        <v>0.04</v>
      </c>
    </row>
    <row r="184" spans="1:17" ht="15" thickBot="1" x14ac:dyDescent="0.35">
      <c r="A184" s="112"/>
      <c r="B184" s="114" t="s">
        <v>75</v>
      </c>
      <c r="C184" s="109" t="s">
        <v>59</v>
      </c>
      <c r="D184" s="109"/>
      <c r="E184" s="109"/>
      <c r="F184" s="109" t="s">
        <v>60</v>
      </c>
      <c r="G184" s="109"/>
      <c r="H184" s="109"/>
      <c r="I184" s="109" t="s">
        <v>61</v>
      </c>
      <c r="J184" s="109"/>
      <c r="K184" s="109"/>
      <c r="L184" s="109" t="s">
        <v>62</v>
      </c>
      <c r="M184" s="109"/>
      <c r="N184" s="109"/>
      <c r="O184" s="109" t="s">
        <v>63</v>
      </c>
      <c r="P184" s="109"/>
      <c r="Q184" s="110"/>
    </row>
    <row r="185" spans="1:17" ht="15" thickBot="1" x14ac:dyDescent="0.35">
      <c r="A185" s="112"/>
      <c r="B185" s="115"/>
      <c r="C185" s="75"/>
      <c r="D185" s="76"/>
      <c r="E185" s="76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86"/>
    </row>
    <row r="186" spans="1:17" x14ac:dyDescent="0.3">
      <c r="A186" s="112"/>
      <c r="B186" s="84" t="s">
        <v>96</v>
      </c>
      <c r="C186" s="6">
        <v>0.88</v>
      </c>
      <c r="D186" s="7">
        <v>0.08</v>
      </c>
      <c r="E186" s="8">
        <v>0.04</v>
      </c>
      <c r="F186" s="6">
        <v>0.88</v>
      </c>
      <c r="G186" s="7">
        <v>0.08</v>
      </c>
      <c r="H186" s="8">
        <v>0.04</v>
      </c>
      <c r="I186" s="6">
        <v>0.88</v>
      </c>
      <c r="J186" s="7">
        <v>0.08</v>
      </c>
      <c r="K186" s="8">
        <v>0.04</v>
      </c>
      <c r="L186" s="6">
        <v>0.75</v>
      </c>
      <c r="M186" s="7">
        <v>0.2</v>
      </c>
      <c r="N186" s="8">
        <v>0.05</v>
      </c>
      <c r="O186" s="6">
        <v>0.88</v>
      </c>
      <c r="P186" s="7">
        <v>0.08</v>
      </c>
      <c r="Q186" s="8">
        <v>0.04</v>
      </c>
    </row>
    <row r="187" spans="1:17" x14ac:dyDescent="0.3">
      <c r="A187" s="112"/>
      <c r="B187" s="84" t="s">
        <v>97</v>
      </c>
      <c r="C187" s="6">
        <v>0.88</v>
      </c>
      <c r="D187" s="7">
        <v>0.08</v>
      </c>
      <c r="E187" s="8">
        <v>0.04</v>
      </c>
      <c r="F187" s="6">
        <v>0.88</v>
      </c>
      <c r="G187" s="7">
        <v>0.08</v>
      </c>
      <c r="H187" s="8">
        <v>0.04</v>
      </c>
      <c r="I187" s="6">
        <v>0.88</v>
      </c>
      <c r="J187" s="7">
        <v>0.08</v>
      </c>
      <c r="K187" s="8">
        <v>0.04</v>
      </c>
      <c r="L187" s="7">
        <v>0.5</v>
      </c>
      <c r="M187" s="7">
        <v>0.45</v>
      </c>
      <c r="N187" s="8">
        <v>0.05</v>
      </c>
      <c r="O187" s="6">
        <v>0.88</v>
      </c>
      <c r="P187" s="7">
        <v>0.08</v>
      </c>
      <c r="Q187" s="8">
        <v>0.04</v>
      </c>
    </row>
    <row r="188" spans="1:17" ht="15" thickBot="1" x14ac:dyDescent="0.35">
      <c r="A188" s="113"/>
      <c r="B188" s="77" t="s">
        <v>98</v>
      </c>
      <c r="C188" s="6">
        <v>0.88</v>
      </c>
      <c r="D188" s="7">
        <v>0.08</v>
      </c>
      <c r="E188" s="8">
        <v>0.04</v>
      </c>
      <c r="F188" s="6">
        <v>0.88</v>
      </c>
      <c r="G188" s="7">
        <v>0.08</v>
      </c>
      <c r="H188" s="8">
        <v>0.04</v>
      </c>
      <c r="I188" s="6">
        <v>0.88</v>
      </c>
      <c r="J188" s="7">
        <v>0.08</v>
      </c>
      <c r="K188" s="8">
        <v>0.04</v>
      </c>
      <c r="L188" s="6">
        <v>0.88</v>
      </c>
      <c r="M188" s="7">
        <v>0.08</v>
      </c>
      <c r="N188" s="8">
        <v>0.04</v>
      </c>
      <c r="O188" s="6">
        <v>0.88</v>
      </c>
      <c r="P188" s="7">
        <v>0.08</v>
      </c>
      <c r="Q188" s="8">
        <v>0.04</v>
      </c>
    </row>
    <row r="189" spans="1:17" ht="15" thickBot="1" x14ac:dyDescent="0.35">
      <c r="A189" s="116" t="s">
        <v>0</v>
      </c>
      <c r="B189" s="114" t="s">
        <v>75</v>
      </c>
      <c r="C189" s="109" t="s">
        <v>54</v>
      </c>
      <c r="D189" s="109"/>
      <c r="E189" s="109"/>
      <c r="F189" s="109" t="s">
        <v>55</v>
      </c>
      <c r="G189" s="109"/>
      <c r="H189" s="109"/>
      <c r="I189" s="109" t="s">
        <v>56</v>
      </c>
      <c r="J189" s="109"/>
      <c r="K189" s="109"/>
      <c r="L189" s="109" t="s">
        <v>57</v>
      </c>
      <c r="M189" s="109"/>
      <c r="N189" s="109"/>
      <c r="O189" s="109" t="s">
        <v>58</v>
      </c>
      <c r="P189" s="109"/>
      <c r="Q189" s="109"/>
    </row>
    <row r="190" spans="1:17" ht="15" thickBot="1" x14ac:dyDescent="0.35">
      <c r="A190" s="117"/>
      <c r="B190" s="115"/>
      <c r="C190" s="75"/>
      <c r="D190" s="76"/>
      <c r="E190" s="76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</row>
    <row r="191" spans="1:17" x14ac:dyDescent="0.3">
      <c r="A191" s="111" t="s">
        <v>93</v>
      </c>
      <c r="B191" s="80" t="s">
        <v>96</v>
      </c>
      <c r="C191" s="6">
        <v>0.88</v>
      </c>
      <c r="D191" s="7">
        <v>0.08</v>
      </c>
      <c r="E191" s="8">
        <v>0.04</v>
      </c>
      <c r="F191" s="6">
        <v>0.75</v>
      </c>
      <c r="G191" s="7">
        <v>0.2</v>
      </c>
      <c r="H191" s="8">
        <v>0.05</v>
      </c>
      <c r="I191" s="6">
        <v>0.88</v>
      </c>
      <c r="J191" s="7">
        <v>0.08</v>
      </c>
      <c r="K191" s="8">
        <v>0.04</v>
      </c>
      <c r="L191" s="6">
        <v>0.75</v>
      </c>
      <c r="M191" s="7">
        <v>0.2</v>
      </c>
      <c r="N191" s="8">
        <v>0.05</v>
      </c>
      <c r="O191" s="6">
        <v>0.88</v>
      </c>
      <c r="P191" s="7">
        <v>0.08</v>
      </c>
      <c r="Q191" s="8">
        <v>0.04</v>
      </c>
    </row>
    <row r="192" spans="1:17" x14ac:dyDescent="0.3">
      <c r="A192" s="112"/>
      <c r="B192" s="84" t="s">
        <v>97</v>
      </c>
      <c r="C192" s="6">
        <v>0.75</v>
      </c>
      <c r="D192" s="7">
        <v>0.2</v>
      </c>
      <c r="E192" s="8">
        <v>0.05</v>
      </c>
      <c r="F192" s="6">
        <v>0.75</v>
      </c>
      <c r="G192" s="7">
        <v>0.2</v>
      </c>
      <c r="H192" s="8">
        <v>0.05</v>
      </c>
      <c r="I192" s="6">
        <v>0.88</v>
      </c>
      <c r="J192" s="7">
        <v>0.08</v>
      </c>
      <c r="K192" s="8">
        <v>0.04</v>
      </c>
      <c r="L192" s="6">
        <v>0.88</v>
      </c>
      <c r="M192" s="7">
        <v>0.08</v>
      </c>
      <c r="N192" s="8">
        <v>0.04</v>
      </c>
      <c r="O192" s="6">
        <v>0.88</v>
      </c>
      <c r="P192" s="7">
        <v>0.08</v>
      </c>
      <c r="Q192" s="8">
        <v>0.04</v>
      </c>
    </row>
    <row r="193" spans="1:17" ht="15" thickBot="1" x14ac:dyDescent="0.35">
      <c r="A193" s="112"/>
      <c r="B193" s="84" t="s">
        <v>98</v>
      </c>
      <c r="C193" s="6">
        <v>0.88</v>
      </c>
      <c r="D193" s="7">
        <v>0.08</v>
      </c>
      <c r="E193" s="8">
        <v>0.04</v>
      </c>
      <c r="F193" s="6">
        <v>0.75</v>
      </c>
      <c r="G193" s="7">
        <v>0.2</v>
      </c>
      <c r="H193" s="8">
        <v>0.05</v>
      </c>
      <c r="I193" s="6">
        <v>0.88</v>
      </c>
      <c r="J193" s="7">
        <v>0.08</v>
      </c>
      <c r="K193" s="8">
        <v>0.04</v>
      </c>
      <c r="L193" s="6">
        <v>0.75</v>
      </c>
      <c r="M193" s="7">
        <v>0.2</v>
      </c>
      <c r="N193" s="8">
        <v>0.05</v>
      </c>
      <c r="O193" s="6">
        <v>0.75</v>
      </c>
      <c r="P193" s="7">
        <v>0.2</v>
      </c>
      <c r="Q193" s="8">
        <v>0.05</v>
      </c>
    </row>
    <row r="194" spans="1:17" ht="15" thickBot="1" x14ac:dyDescent="0.35">
      <c r="A194" s="112"/>
      <c r="B194" s="114" t="s">
        <v>75</v>
      </c>
      <c r="C194" s="109" t="s">
        <v>59</v>
      </c>
      <c r="D194" s="109"/>
      <c r="E194" s="109"/>
      <c r="F194" s="109" t="s">
        <v>60</v>
      </c>
      <c r="G194" s="109"/>
      <c r="H194" s="109"/>
      <c r="I194" s="109" t="s">
        <v>61</v>
      </c>
      <c r="J194" s="109"/>
      <c r="K194" s="109"/>
      <c r="L194" s="109" t="s">
        <v>62</v>
      </c>
      <c r="M194" s="109"/>
      <c r="N194" s="109"/>
      <c r="O194" s="109" t="s">
        <v>63</v>
      </c>
      <c r="P194" s="109"/>
      <c r="Q194" s="110"/>
    </row>
    <row r="195" spans="1:17" ht="15" thickBot="1" x14ac:dyDescent="0.35">
      <c r="A195" s="112"/>
      <c r="B195" s="115"/>
      <c r="C195" s="75"/>
      <c r="D195" s="76"/>
      <c r="E195" s="76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86"/>
    </row>
    <row r="196" spans="1:17" x14ac:dyDescent="0.3">
      <c r="A196" s="112"/>
      <c r="B196" s="84" t="s">
        <v>96</v>
      </c>
      <c r="C196" s="6">
        <v>0.75</v>
      </c>
      <c r="D196" s="7">
        <v>0.2</v>
      </c>
      <c r="E196" s="8">
        <v>0.05</v>
      </c>
      <c r="F196" s="6">
        <v>0.88</v>
      </c>
      <c r="G196" s="7">
        <v>0.08</v>
      </c>
      <c r="H196" s="8">
        <v>0.04</v>
      </c>
      <c r="I196" s="6">
        <v>0.75</v>
      </c>
      <c r="J196" s="7">
        <v>0.2</v>
      </c>
      <c r="K196" s="8">
        <v>0.05</v>
      </c>
      <c r="L196" s="39">
        <v>0.75</v>
      </c>
      <c r="M196" s="40">
        <v>0.2</v>
      </c>
      <c r="N196" s="41">
        <v>0.05</v>
      </c>
      <c r="O196" s="6">
        <v>0.88</v>
      </c>
      <c r="P196" s="7">
        <v>0.08</v>
      </c>
      <c r="Q196" s="8">
        <v>0.04</v>
      </c>
    </row>
    <row r="197" spans="1:17" x14ac:dyDescent="0.3">
      <c r="A197" s="112"/>
      <c r="B197" s="84" t="s">
        <v>97</v>
      </c>
      <c r="C197" s="6">
        <v>0.75</v>
      </c>
      <c r="D197" s="7">
        <v>0.2</v>
      </c>
      <c r="E197" s="8">
        <v>0.05</v>
      </c>
      <c r="F197" s="6">
        <v>0.88</v>
      </c>
      <c r="G197" s="7">
        <v>0.08</v>
      </c>
      <c r="H197" s="8">
        <v>0.04</v>
      </c>
      <c r="I197" s="6">
        <v>0.88</v>
      </c>
      <c r="J197" s="7">
        <v>0.08</v>
      </c>
      <c r="K197" s="8">
        <v>0.04</v>
      </c>
      <c r="L197" s="6">
        <v>0.75</v>
      </c>
      <c r="M197" s="7">
        <v>0.2</v>
      </c>
      <c r="N197" s="8">
        <v>0.05</v>
      </c>
      <c r="O197" s="6">
        <v>0.88</v>
      </c>
      <c r="P197" s="7">
        <v>0.08</v>
      </c>
      <c r="Q197" s="8">
        <v>0.04</v>
      </c>
    </row>
    <row r="198" spans="1:17" ht="15" thickBot="1" x14ac:dyDescent="0.35">
      <c r="A198" s="113"/>
      <c r="B198" s="77" t="s">
        <v>98</v>
      </c>
      <c r="C198" s="6">
        <v>0.75</v>
      </c>
      <c r="D198" s="7">
        <v>0.2</v>
      </c>
      <c r="E198" s="8">
        <v>0.05</v>
      </c>
      <c r="F198" s="6">
        <v>0.88</v>
      </c>
      <c r="G198" s="7">
        <v>0.08</v>
      </c>
      <c r="H198" s="8">
        <v>0.04</v>
      </c>
      <c r="I198" s="6">
        <v>0.75</v>
      </c>
      <c r="J198" s="7">
        <v>0.2</v>
      </c>
      <c r="K198" s="8">
        <v>0.05</v>
      </c>
      <c r="L198" s="9">
        <v>0.88</v>
      </c>
      <c r="M198" s="3">
        <v>0.08</v>
      </c>
      <c r="N198" s="10">
        <v>0.04</v>
      </c>
      <c r="O198" s="6">
        <v>0.75</v>
      </c>
      <c r="P198" s="7">
        <v>0.2</v>
      </c>
      <c r="Q198" s="8">
        <v>0.05</v>
      </c>
    </row>
    <row r="199" spans="1:17" ht="15" thickBot="1" x14ac:dyDescent="0.35">
      <c r="A199" s="116" t="s">
        <v>0</v>
      </c>
      <c r="B199" s="114" t="s">
        <v>75</v>
      </c>
      <c r="C199" s="109" t="s">
        <v>54</v>
      </c>
      <c r="D199" s="109"/>
      <c r="E199" s="109"/>
      <c r="F199" s="109" t="s">
        <v>55</v>
      </c>
      <c r="G199" s="109"/>
      <c r="H199" s="109"/>
      <c r="I199" s="109" t="s">
        <v>56</v>
      </c>
      <c r="J199" s="109"/>
      <c r="K199" s="109"/>
      <c r="L199" s="109" t="s">
        <v>57</v>
      </c>
      <c r="M199" s="109"/>
      <c r="N199" s="109"/>
      <c r="O199" s="109" t="s">
        <v>58</v>
      </c>
      <c r="P199" s="109"/>
      <c r="Q199" s="109"/>
    </row>
    <row r="200" spans="1:17" ht="15" thickBot="1" x14ac:dyDescent="0.35">
      <c r="A200" s="117"/>
      <c r="B200" s="115"/>
      <c r="C200" s="75"/>
      <c r="D200" s="76"/>
      <c r="E200" s="7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</row>
    <row r="201" spans="1:17" x14ac:dyDescent="0.3">
      <c r="A201" s="111" t="s">
        <v>94</v>
      </c>
      <c r="B201" s="80" t="s">
        <v>96</v>
      </c>
      <c r="C201" s="39">
        <v>0.75</v>
      </c>
      <c r="D201" s="40">
        <v>0.2</v>
      </c>
      <c r="E201" s="41">
        <v>0.05</v>
      </c>
      <c r="F201" s="6">
        <v>0.88</v>
      </c>
      <c r="G201" s="7">
        <v>0.08</v>
      </c>
      <c r="H201" s="8">
        <v>0.04</v>
      </c>
      <c r="I201" s="6">
        <v>0.88</v>
      </c>
      <c r="J201" s="7">
        <v>0.08</v>
      </c>
      <c r="K201" s="8">
        <v>0.04</v>
      </c>
      <c r="L201" s="6">
        <v>0.88</v>
      </c>
      <c r="M201" s="7">
        <v>0.08</v>
      </c>
      <c r="N201" s="8">
        <v>0.04</v>
      </c>
      <c r="O201" s="6">
        <v>0.88</v>
      </c>
      <c r="P201" s="7">
        <v>0.08</v>
      </c>
      <c r="Q201" s="8">
        <v>0.04</v>
      </c>
    </row>
    <row r="202" spans="1:17" x14ac:dyDescent="0.3">
      <c r="A202" s="112"/>
      <c r="B202" s="84" t="s">
        <v>97</v>
      </c>
      <c r="C202" s="6">
        <v>0.5</v>
      </c>
      <c r="D202" s="7">
        <v>0.45</v>
      </c>
      <c r="E202" s="8">
        <v>0.05</v>
      </c>
      <c r="F202" s="6">
        <v>0.5</v>
      </c>
      <c r="G202" s="7">
        <v>0.45</v>
      </c>
      <c r="H202" s="8">
        <v>0.05</v>
      </c>
      <c r="I202" s="6">
        <v>0.75</v>
      </c>
      <c r="J202" s="7">
        <v>0.2</v>
      </c>
      <c r="K202" s="8">
        <v>0.05</v>
      </c>
      <c r="L202" s="6">
        <v>0.75</v>
      </c>
      <c r="M202" s="7">
        <v>0.2</v>
      </c>
      <c r="N202" s="8">
        <v>0.05</v>
      </c>
      <c r="O202" s="6">
        <v>0.88</v>
      </c>
      <c r="P202" s="7">
        <v>0.08</v>
      </c>
      <c r="Q202" s="8">
        <v>0.04</v>
      </c>
    </row>
    <row r="203" spans="1:17" ht="15" thickBot="1" x14ac:dyDescent="0.35">
      <c r="A203" s="112"/>
      <c r="B203" s="84" t="s">
        <v>98</v>
      </c>
      <c r="C203" s="9">
        <v>0.88</v>
      </c>
      <c r="D203" s="3">
        <v>0.08</v>
      </c>
      <c r="E203" s="10">
        <v>0.04</v>
      </c>
      <c r="F203" s="6">
        <v>0.88</v>
      </c>
      <c r="G203" s="7">
        <v>0.08</v>
      </c>
      <c r="H203" s="8">
        <v>0.04</v>
      </c>
      <c r="I203" s="6">
        <v>0.88</v>
      </c>
      <c r="J203" s="7">
        <v>0.08</v>
      </c>
      <c r="K203" s="8">
        <v>0.04</v>
      </c>
      <c r="L203" s="6">
        <v>0.88</v>
      </c>
      <c r="M203" s="7">
        <v>0.08</v>
      </c>
      <c r="N203" s="8">
        <v>0.04</v>
      </c>
      <c r="O203" s="6">
        <v>0.88</v>
      </c>
      <c r="P203" s="7">
        <v>0.08</v>
      </c>
      <c r="Q203" s="8">
        <v>0.04</v>
      </c>
    </row>
    <row r="204" spans="1:17" ht="15" thickBot="1" x14ac:dyDescent="0.35">
      <c r="A204" s="112"/>
      <c r="B204" s="114" t="s">
        <v>75</v>
      </c>
      <c r="C204" s="109" t="s">
        <v>59</v>
      </c>
      <c r="D204" s="109"/>
      <c r="E204" s="109"/>
      <c r="F204" s="109" t="s">
        <v>60</v>
      </c>
      <c r="G204" s="109"/>
      <c r="H204" s="109"/>
      <c r="I204" s="109" t="s">
        <v>61</v>
      </c>
      <c r="J204" s="109"/>
      <c r="K204" s="109"/>
      <c r="L204" s="109" t="s">
        <v>62</v>
      </c>
      <c r="M204" s="109"/>
      <c r="N204" s="109"/>
      <c r="O204" s="109" t="s">
        <v>63</v>
      </c>
      <c r="P204" s="109"/>
      <c r="Q204" s="110"/>
    </row>
    <row r="205" spans="1:17" ht="15" thickBot="1" x14ac:dyDescent="0.35">
      <c r="A205" s="112"/>
      <c r="B205" s="115"/>
      <c r="C205" s="75"/>
      <c r="D205" s="76"/>
      <c r="E205" s="76"/>
      <c r="F205" s="89"/>
      <c r="G205" s="89"/>
      <c r="H205" s="89"/>
      <c r="I205" s="75"/>
      <c r="J205" s="75"/>
      <c r="K205" s="75"/>
      <c r="L205" s="75"/>
      <c r="M205" s="75"/>
      <c r="N205" s="75"/>
      <c r="O205" s="75"/>
      <c r="P205" s="75"/>
      <c r="Q205" s="86"/>
    </row>
    <row r="206" spans="1:17" x14ac:dyDescent="0.3">
      <c r="A206" s="112"/>
      <c r="B206" s="84" t="s">
        <v>96</v>
      </c>
      <c r="C206" s="39">
        <v>0.5</v>
      </c>
      <c r="D206" s="40">
        <v>0.45</v>
      </c>
      <c r="E206" s="40">
        <v>0.05</v>
      </c>
      <c r="F206" s="39">
        <v>0.5</v>
      </c>
      <c r="G206" s="40">
        <v>0.45</v>
      </c>
      <c r="H206" s="41">
        <v>0.05</v>
      </c>
      <c r="I206" s="6">
        <v>0.88</v>
      </c>
      <c r="J206" s="7">
        <v>0.08</v>
      </c>
      <c r="K206" s="8">
        <v>0.04</v>
      </c>
      <c r="L206" s="39">
        <v>0.75</v>
      </c>
      <c r="M206" s="40">
        <v>0.2</v>
      </c>
      <c r="N206" s="41">
        <v>0.05</v>
      </c>
      <c r="O206" s="39">
        <v>0.5</v>
      </c>
      <c r="P206" s="40">
        <v>0.45</v>
      </c>
      <c r="Q206" s="41">
        <v>0.05</v>
      </c>
    </row>
    <row r="207" spans="1:17" x14ac:dyDescent="0.3">
      <c r="A207" s="112"/>
      <c r="B207" s="84" t="s">
        <v>97</v>
      </c>
      <c r="C207" s="6">
        <v>0.88</v>
      </c>
      <c r="D207" s="7">
        <v>0.08</v>
      </c>
      <c r="E207" s="7">
        <v>0.04</v>
      </c>
      <c r="F207" s="6">
        <v>0.5</v>
      </c>
      <c r="G207" s="7">
        <v>0.45</v>
      </c>
      <c r="H207" s="8">
        <v>0.05</v>
      </c>
      <c r="I207" s="6">
        <v>0.88</v>
      </c>
      <c r="J207" s="7">
        <v>0.08</v>
      </c>
      <c r="K207" s="8">
        <v>0.04</v>
      </c>
      <c r="L207" s="6">
        <v>0.5</v>
      </c>
      <c r="M207" s="7">
        <v>0.45</v>
      </c>
      <c r="N207" s="8">
        <v>0.05</v>
      </c>
      <c r="O207" s="6">
        <v>0.35</v>
      </c>
      <c r="P207" s="7">
        <v>0.6</v>
      </c>
      <c r="Q207" s="8">
        <v>0.05</v>
      </c>
    </row>
    <row r="208" spans="1:17" ht="15" thickBot="1" x14ac:dyDescent="0.35">
      <c r="A208" s="113"/>
      <c r="B208" s="77" t="s">
        <v>98</v>
      </c>
      <c r="C208" s="9">
        <v>0.35</v>
      </c>
      <c r="D208" s="3">
        <v>0.6</v>
      </c>
      <c r="E208" s="3">
        <v>0.05</v>
      </c>
      <c r="F208" s="9">
        <v>0.5</v>
      </c>
      <c r="G208" s="3">
        <v>0.45</v>
      </c>
      <c r="H208" s="10">
        <v>0.05</v>
      </c>
      <c r="I208" s="6">
        <v>0.88</v>
      </c>
      <c r="J208" s="7">
        <v>0.08</v>
      </c>
      <c r="K208" s="8">
        <v>0.04</v>
      </c>
      <c r="L208" s="9">
        <v>0.88</v>
      </c>
      <c r="M208" s="3">
        <v>0.08</v>
      </c>
      <c r="N208" s="10">
        <v>0.04</v>
      </c>
      <c r="O208" s="9">
        <v>0.88</v>
      </c>
      <c r="P208" s="3">
        <v>0.08</v>
      </c>
      <c r="Q208" s="10">
        <v>0.04</v>
      </c>
    </row>
    <row r="209" spans="1:17" ht="15" thickBot="1" x14ac:dyDescent="0.35">
      <c r="A209" s="116" t="s">
        <v>0</v>
      </c>
      <c r="B209" s="114" t="s">
        <v>75</v>
      </c>
      <c r="C209" s="109" t="s">
        <v>54</v>
      </c>
      <c r="D209" s="109"/>
      <c r="E209" s="109"/>
      <c r="F209" s="118" t="s">
        <v>55</v>
      </c>
      <c r="G209" s="118"/>
      <c r="H209" s="118"/>
      <c r="I209" s="109" t="s">
        <v>56</v>
      </c>
      <c r="J209" s="109"/>
      <c r="K209" s="109"/>
      <c r="L209" s="109" t="s">
        <v>57</v>
      </c>
      <c r="M209" s="109"/>
      <c r="N209" s="109"/>
      <c r="O209" s="109" t="s">
        <v>58</v>
      </c>
      <c r="P209" s="109"/>
      <c r="Q209" s="109"/>
    </row>
    <row r="210" spans="1:17" ht="15" thickBot="1" x14ac:dyDescent="0.35">
      <c r="A210" s="117"/>
      <c r="B210" s="115"/>
      <c r="C210" s="75"/>
      <c r="D210" s="76"/>
      <c r="E210" s="76"/>
      <c r="F210" s="75"/>
      <c r="G210" s="75"/>
      <c r="H210" s="75"/>
      <c r="I210" s="75"/>
      <c r="J210" s="75"/>
      <c r="K210" s="75"/>
      <c r="L210" s="89"/>
      <c r="M210" s="89"/>
      <c r="N210" s="89"/>
      <c r="O210" s="75"/>
      <c r="P210" s="75"/>
      <c r="Q210" s="75"/>
    </row>
    <row r="211" spans="1:17" x14ac:dyDescent="0.3">
      <c r="A211" s="111" t="s">
        <v>13</v>
      </c>
      <c r="B211" s="80" t="s">
        <v>96</v>
      </c>
      <c r="C211" s="39">
        <v>0.75</v>
      </c>
      <c r="D211" s="40">
        <v>0.2</v>
      </c>
      <c r="E211" s="41">
        <v>0.05</v>
      </c>
      <c r="F211" s="39">
        <v>0.75</v>
      </c>
      <c r="G211" s="40">
        <v>0.2</v>
      </c>
      <c r="H211" s="41">
        <v>0.05</v>
      </c>
      <c r="I211" s="6">
        <v>0.88</v>
      </c>
      <c r="J211" s="7">
        <v>0.08</v>
      </c>
      <c r="K211" s="7">
        <v>0.04</v>
      </c>
      <c r="L211" s="39">
        <v>0.75</v>
      </c>
      <c r="M211" s="40">
        <v>0.2</v>
      </c>
      <c r="N211" s="41">
        <v>0.05</v>
      </c>
      <c r="O211" s="7">
        <v>0.88</v>
      </c>
      <c r="P211" s="7">
        <v>0.08</v>
      </c>
      <c r="Q211" s="8">
        <v>0.04</v>
      </c>
    </row>
    <row r="212" spans="1:17" x14ac:dyDescent="0.3">
      <c r="A212" s="112"/>
      <c r="B212" s="84" t="s">
        <v>97</v>
      </c>
      <c r="C212" s="6">
        <v>0.5</v>
      </c>
      <c r="D212" s="7">
        <v>0.45</v>
      </c>
      <c r="E212" s="8">
        <v>0.05</v>
      </c>
      <c r="F212" s="6">
        <v>0.35</v>
      </c>
      <c r="G212" s="7">
        <v>0.6</v>
      </c>
      <c r="H212" s="8">
        <v>0.05</v>
      </c>
      <c r="I212" s="6">
        <v>0.88</v>
      </c>
      <c r="J212" s="7">
        <v>0.08</v>
      </c>
      <c r="K212" s="7">
        <v>0.04</v>
      </c>
      <c r="L212" s="6">
        <v>0.08</v>
      </c>
      <c r="M212" s="7">
        <v>0.88</v>
      </c>
      <c r="N212" s="8">
        <v>0.04</v>
      </c>
      <c r="O212" s="7">
        <v>0.88</v>
      </c>
      <c r="P212" s="7">
        <v>0.08</v>
      </c>
      <c r="Q212" s="8">
        <v>0.04</v>
      </c>
    </row>
    <row r="213" spans="1:17" ht="15" thickBot="1" x14ac:dyDescent="0.35">
      <c r="A213" s="112"/>
      <c r="B213" s="84" t="s">
        <v>98</v>
      </c>
      <c r="C213" s="9">
        <v>0.88</v>
      </c>
      <c r="D213" s="3">
        <v>0.08</v>
      </c>
      <c r="E213" s="10">
        <v>0.04</v>
      </c>
      <c r="F213" s="9">
        <v>0.88</v>
      </c>
      <c r="G213" s="3">
        <v>0.08</v>
      </c>
      <c r="H213" s="10">
        <v>0.04</v>
      </c>
      <c r="I213" s="6">
        <v>0.35</v>
      </c>
      <c r="J213" s="7">
        <v>0.6</v>
      </c>
      <c r="K213" s="7">
        <v>0.05</v>
      </c>
      <c r="L213" s="9">
        <v>0.88</v>
      </c>
      <c r="M213" s="3">
        <v>0.08</v>
      </c>
      <c r="N213" s="10">
        <v>0.04</v>
      </c>
      <c r="O213" s="7">
        <v>0.88</v>
      </c>
      <c r="P213" s="7">
        <v>0.08</v>
      </c>
      <c r="Q213" s="8">
        <v>0.04</v>
      </c>
    </row>
    <row r="214" spans="1:17" ht="15" thickBot="1" x14ac:dyDescent="0.35">
      <c r="A214" s="112"/>
      <c r="B214" s="114" t="s">
        <v>75</v>
      </c>
      <c r="C214" s="109" t="s">
        <v>59</v>
      </c>
      <c r="D214" s="109"/>
      <c r="E214" s="109"/>
      <c r="F214" s="109" t="s">
        <v>60</v>
      </c>
      <c r="G214" s="109"/>
      <c r="H214" s="109"/>
      <c r="I214" s="109" t="s">
        <v>61</v>
      </c>
      <c r="J214" s="109"/>
      <c r="K214" s="109"/>
      <c r="L214" s="118" t="s">
        <v>62</v>
      </c>
      <c r="M214" s="118"/>
      <c r="N214" s="118"/>
      <c r="O214" s="109" t="s">
        <v>63</v>
      </c>
      <c r="P214" s="109"/>
      <c r="Q214" s="110"/>
    </row>
    <row r="215" spans="1:17" ht="15" thickBot="1" x14ac:dyDescent="0.35">
      <c r="A215" s="112"/>
      <c r="B215" s="115"/>
      <c r="C215" s="75"/>
      <c r="D215" s="76"/>
      <c r="E215" s="76"/>
      <c r="F215" s="75"/>
      <c r="G215" s="75"/>
      <c r="H215" s="75"/>
      <c r="I215" s="75"/>
      <c r="J215" s="75"/>
      <c r="K215" s="75"/>
      <c r="L215" s="89"/>
      <c r="M215" s="89"/>
      <c r="N215" s="89"/>
      <c r="O215" s="75"/>
      <c r="P215" s="75"/>
      <c r="Q215" s="86"/>
    </row>
    <row r="216" spans="1:17" x14ac:dyDescent="0.3">
      <c r="A216" s="112"/>
      <c r="B216" s="84" t="s">
        <v>96</v>
      </c>
      <c r="C216" s="6">
        <v>0.88</v>
      </c>
      <c r="D216" s="7">
        <v>0.08</v>
      </c>
      <c r="E216" s="8">
        <v>0.04</v>
      </c>
      <c r="F216" s="6">
        <v>0.88</v>
      </c>
      <c r="G216" s="7">
        <v>0.08</v>
      </c>
      <c r="H216" s="8">
        <v>0.04</v>
      </c>
      <c r="I216" s="6">
        <v>0.75</v>
      </c>
      <c r="J216" s="7">
        <v>0.2</v>
      </c>
      <c r="K216" s="7">
        <v>0.05</v>
      </c>
      <c r="L216" s="39">
        <v>0.5</v>
      </c>
      <c r="M216" s="40">
        <v>0.45</v>
      </c>
      <c r="N216" s="41">
        <v>0.05</v>
      </c>
      <c r="O216" s="39">
        <v>0.5</v>
      </c>
      <c r="P216" s="40">
        <v>0.45</v>
      </c>
      <c r="Q216" s="41">
        <v>0.05</v>
      </c>
    </row>
    <row r="217" spans="1:17" x14ac:dyDescent="0.3">
      <c r="A217" s="112"/>
      <c r="B217" s="84" t="s">
        <v>97</v>
      </c>
      <c r="C217" s="6">
        <v>0.88</v>
      </c>
      <c r="D217" s="7">
        <v>0.08</v>
      </c>
      <c r="E217" s="8">
        <v>0.04</v>
      </c>
      <c r="F217" s="6">
        <v>0.88</v>
      </c>
      <c r="G217" s="7">
        <v>0.08</v>
      </c>
      <c r="H217" s="8">
        <v>0.04</v>
      </c>
      <c r="I217" s="6">
        <v>0.75</v>
      </c>
      <c r="J217" s="7">
        <v>0.2</v>
      </c>
      <c r="K217" s="7">
        <v>0.05</v>
      </c>
      <c r="L217" s="6">
        <v>0.5</v>
      </c>
      <c r="M217" s="7">
        <v>0.45</v>
      </c>
      <c r="N217" s="8">
        <v>0.05</v>
      </c>
      <c r="O217" s="7">
        <v>0.35</v>
      </c>
      <c r="P217" s="7">
        <v>0.6</v>
      </c>
      <c r="Q217" s="8">
        <v>0.05</v>
      </c>
    </row>
    <row r="218" spans="1:17" ht="15" thickBot="1" x14ac:dyDescent="0.35">
      <c r="A218" s="113"/>
      <c r="B218" s="77" t="s">
        <v>98</v>
      </c>
      <c r="C218" s="6">
        <v>0.88</v>
      </c>
      <c r="D218" s="7">
        <v>0.08</v>
      </c>
      <c r="E218" s="8">
        <v>0.04</v>
      </c>
      <c r="F218" s="6">
        <v>0.88</v>
      </c>
      <c r="G218" s="7">
        <v>0.08</v>
      </c>
      <c r="H218" s="8">
        <v>0.04</v>
      </c>
      <c r="I218" s="6">
        <v>0.75</v>
      </c>
      <c r="J218" s="7">
        <v>0.2</v>
      </c>
      <c r="K218" s="7">
        <v>0.05</v>
      </c>
      <c r="L218" s="9">
        <v>0.35</v>
      </c>
      <c r="M218" s="3">
        <v>0.6</v>
      </c>
      <c r="N218" s="10">
        <v>0.05</v>
      </c>
      <c r="O218" s="6">
        <v>0.88</v>
      </c>
      <c r="P218" s="7">
        <v>0.08</v>
      </c>
      <c r="Q218" s="8">
        <v>0.04</v>
      </c>
    </row>
    <row r="219" spans="1:17" ht="15" thickBot="1" x14ac:dyDescent="0.35">
      <c r="A219" s="116" t="s">
        <v>0</v>
      </c>
      <c r="B219" s="114" t="s">
        <v>75</v>
      </c>
      <c r="C219" s="109" t="s">
        <v>54</v>
      </c>
      <c r="D219" s="109"/>
      <c r="E219" s="109"/>
      <c r="F219" s="109" t="s">
        <v>55</v>
      </c>
      <c r="G219" s="109"/>
      <c r="H219" s="109"/>
      <c r="I219" s="109" t="s">
        <v>56</v>
      </c>
      <c r="J219" s="109"/>
      <c r="K219" s="109"/>
      <c r="L219" s="118" t="s">
        <v>57</v>
      </c>
      <c r="M219" s="118"/>
      <c r="N219" s="118"/>
      <c r="O219" s="109" t="s">
        <v>58</v>
      </c>
      <c r="P219" s="109"/>
      <c r="Q219" s="109"/>
    </row>
    <row r="220" spans="1:17" ht="15" thickBot="1" x14ac:dyDescent="0.35">
      <c r="A220" s="117"/>
      <c r="B220" s="115"/>
      <c r="C220" s="75"/>
      <c r="D220" s="76"/>
      <c r="E220" s="76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</row>
    <row r="221" spans="1:17" x14ac:dyDescent="0.3">
      <c r="A221" s="111" t="s">
        <v>14</v>
      </c>
      <c r="B221" s="80" t="s">
        <v>96</v>
      </c>
      <c r="C221" s="6">
        <v>0.88</v>
      </c>
      <c r="D221" s="7">
        <v>0.08</v>
      </c>
      <c r="E221" s="8">
        <v>0.04</v>
      </c>
      <c r="F221" s="6">
        <v>0.88</v>
      </c>
      <c r="G221" s="7">
        <v>0.08</v>
      </c>
      <c r="H221" s="8">
        <v>0.04</v>
      </c>
      <c r="I221" s="6">
        <v>0.88</v>
      </c>
      <c r="J221" s="7">
        <v>0.08</v>
      </c>
      <c r="K221" s="8">
        <v>0.04</v>
      </c>
      <c r="L221" s="6">
        <v>0.88</v>
      </c>
      <c r="M221" s="7">
        <v>0.08</v>
      </c>
      <c r="N221" s="8">
        <v>0.04</v>
      </c>
      <c r="O221" s="6">
        <v>0.75</v>
      </c>
      <c r="P221" s="7">
        <v>0.2</v>
      </c>
      <c r="Q221" s="8">
        <v>0.05</v>
      </c>
    </row>
    <row r="222" spans="1:17" x14ac:dyDescent="0.3">
      <c r="A222" s="112"/>
      <c r="B222" s="84" t="s">
        <v>97</v>
      </c>
      <c r="C222" s="6">
        <v>0.88</v>
      </c>
      <c r="D222" s="7">
        <v>0.08</v>
      </c>
      <c r="E222" s="8">
        <v>0.04</v>
      </c>
      <c r="F222" s="6">
        <v>0.88</v>
      </c>
      <c r="G222" s="7">
        <v>0.08</v>
      </c>
      <c r="H222" s="8">
        <v>0.04</v>
      </c>
      <c r="I222" s="6">
        <v>0.88</v>
      </c>
      <c r="J222" s="7">
        <v>0.08</v>
      </c>
      <c r="K222" s="8">
        <v>0.04</v>
      </c>
      <c r="L222" s="6">
        <v>0.75</v>
      </c>
      <c r="M222" s="7">
        <v>0.2</v>
      </c>
      <c r="N222" s="8">
        <v>0.05</v>
      </c>
      <c r="O222" s="6">
        <v>0.75</v>
      </c>
      <c r="P222" s="7">
        <v>0.2</v>
      </c>
      <c r="Q222" s="8">
        <v>0.05</v>
      </c>
    </row>
    <row r="223" spans="1:17" ht="15" thickBot="1" x14ac:dyDescent="0.35">
      <c r="A223" s="112"/>
      <c r="B223" s="84" t="s">
        <v>98</v>
      </c>
      <c r="C223" s="6">
        <v>0.88</v>
      </c>
      <c r="D223" s="7">
        <v>0.08</v>
      </c>
      <c r="E223" s="8">
        <v>0.04</v>
      </c>
      <c r="F223" s="6">
        <v>0.88</v>
      </c>
      <c r="G223" s="7">
        <v>0.08</v>
      </c>
      <c r="H223" s="8">
        <v>0.04</v>
      </c>
      <c r="I223" s="6">
        <v>0.88</v>
      </c>
      <c r="J223" s="7">
        <v>0.08</v>
      </c>
      <c r="K223" s="8">
        <v>0.04</v>
      </c>
      <c r="L223" s="6">
        <v>0.75</v>
      </c>
      <c r="M223" s="7">
        <v>0.2</v>
      </c>
      <c r="N223" s="8">
        <v>0.05</v>
      </c>
      <c r="O223" s="6">
        <v>0.88</v>
      </c>
      <c r="P223" s="7">
        <v>0.08</v>
      </c>
      <c r="Q223" s="8">
        <v>0.04</v>
      </c>
    </row>
    <row r="224" spans="1:17" ht="15" thickBot="1" x14ac:dyDescent="0.35">
      <c r="A224" s="112"/>
      <c r="B224" s="114" t="s">
        <v>75</v>
      </c>
      <c r="C224" s="109" t="s">
        <v>59</v>
      </c>
      <c r="D224" s="109"/>
      <c r="E224" s="109"/>
      <c r="F224" s="109" t="s">
        <v>60</v>
      </c>
      <c r="G224" s="109"/>
      <c r="H224" s="109"/>
      <c r="I224" s="109" t="s">
        <v>61</v>
      </c>
      <c r="J224" s="109"/>
      <c r="K224" s="109"/>
      <c r="L224" s="109" t="s">
        <v>62</v>
      </c>
      <c r="M224" s="109"/>
      <c r="N224" s="109"/>
      <c r="O224" s="109" t="s">
        <v>63</v>
      </c>
      <c r="P224" s="109"/>
      <c r="Q224" s="110"/>
    </row>
    <row r="225" spans="1:17" ht="15" thickBot="1" x14ac:dyDescent="0.35">
      <c r="A225" s="112"/>
      <c r="B225" s="115"/>
      <c r="C225" s="75"/>
      <c r="D225" s="76"/>
      <c r="E225" s="76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86"/>
    </row>
    <row r="226" spans="1:17" x14ac:dyDescent="0.3">
      <c r="A226" s="112"/>
      <c r="B226" s="84" t="s">
        <v>96</v>
      </c>
      <c r="C226" s="6">
        <v>0.88</v>
      </c>
      <c r="D226" s="7">
        <v>0.08</v>
      </c>
      <c r="E226" s="8">
        <v>0.04</v>
      </c>
      <c r="F226" s="6">
        <v>0.88</v>
      </c>
      <c r="G226" s="7">
        <v>0.08</v>
      </c>
      <c r="H226" s="8">
        <v>0.04</v>
      </c>
      <c r="I226" s="6">
        <v>0.88</v>
      </c>
      <c r="J226" s="7">
        <v>0.08</v>
      </c>
      <c r="K226" s="8">
        <v>0.04</v>
      </c>
      <c r="L226" s="6">
        <v>0.88</v>
      </c>
      <c r="M226" s="7">
        <v>0.08</v>
      </c>
      <c r="N226" s="8">
        <v>0.04</v>
      </c>
      <c r="O226" s="6">
        <v>0.88</v>
      </c>
      <c r="P226" s="7">
        <v>0.08</v>
      </c>
      <c r="Q226" s="8">
        <v>0.04</v>
      </c>
    </row>
    <row r="227" spans="1:17" x14ac:dyDescent="0.3">
      <c r="A227" s="112"/>
      <c r="B227" s="84" t="s">
        <v>97</v>
      </c>
      <c r="C227" s="6">
        <v>0.88</v>
      </c>
      <c r="D227" s="7">
        <v>0.08</v>
      </c>
      <c r="E227" s="8">
        <v>0.04</v>
      </c>
      <c r="F227" s="6">
        <v>0.88</v>
      </c>
      <c r="G227" s="7">
        <v>0.08</v>
      </c>
      <c r="H227" s="8">
        <v>0.04</v>
      </c>
      <c r="I227" s="6">
        <v>0.88</v>
      </c>
      <c r="J227" s="7">
        <v>0.08</v>
      </c>
      <c r="K227" s="8">
        <v>0.04</v>
      </c>
      <c r="L227" s="6">
        <v>0.75</v>
      </c>
      <c r="M227" s="7">
        <v>0.2</v>
      </c>
      <c r="N227" s="8">
        <v>0.05</v>
      </c>
      <c r="O227" s="6">
        <v>0.75</v>
      </c>
      <c r="P227" s="7">
        <v>0.2</v>
      </c>
      <c r="Q227" s="8">
        <v>0.05</v>
      </c>
    </row>
    <row r="228" spans="1:17" ht="15" thickBot="1" x14ac:dyDescent="0.35">
      <c r="A228" s="113"/>
      <c r="B228" s="77" t="s">
        <v>98</v>
      </c>
      <c r="C228" s="6">
        <v>0.75</v>
      </c>
      <c r="D228" s="7">
        <v>0.2</v>
      </c>
      <c r="E228" s="8">
        <v>0.05</v>
      </c>
      <c r="F228" s="6">
        <v>0.88</v>
      </c>
      <c r="G228" s="7">
        <v>0.08</v>
      </c>
      <c r="H228" s="8">
        <v>0.04</v>
      </c>
      <c r="I228" s="6">
        <v>0.88</v>
      </c>
      <c r="J228" s="7">
        <v>0.08</v>
      </c>
      <c r="K228" s="8">
        <v>0.04</v>
      </c>
      <c r="L228" s="6">
        <v>0.88</v>
      </c>
      <c r="M228" s="7">
        <v>0.08</v>
      </c>
      <c r="N228" s="8">
        <v>0.04</v>
      </c>
      <c r="O228" s="6">
        <v>0.88</v>
      </c>
      <c r="P228" s="7">
        <v>0.08</v>
      </c>
      <c r="Q228" s="8">
        <v>0.04</v>
      </c>
    </row>
    <row r="229" spans="1:17" ht="15" thickBot="1" x14ac:dyDescent="0.35">
      <c r="A229" s="116" t="s">
        <v>0</v>
      </c>
      <c r="B229" s="114" t="s">
        <v>75</v>
      </c>
      <c r="C229" s="109" t="s">
        <v>54</v>
      </c>
      <c r="D229" s="109"/>
      <c r="E229" s="109"/>
      <c r="F229" s="109" t="s">
        <v>55</v>
      </c>
      <c r="G229" s="109"/>
      <c r="H229" s="109"/>
      <c r="I229" s="109" t="s">
        <v>56</v>
      </c>
      <c r="J229" s="109"/>
      <c r="K229" s="109"/>
      <c r="L229" s="109" t="s">
        <v>57</v>
      </c>
      <c r="M229" s="109"/>
      <c r="N229" s="109"/>
      <c r="O229" s="109" t="s">
        <v>58</v>
      </c>
      <c r="P229" s="109"/>
      <c r="Q229" s="109"/>
    </row>
    <row r="230" spans="1:17" ht="15" thickBot="1" x14ac:dyDescent="0.35">
      <c r="A230" s="117"/>
      <c r="B230" s="115"/>
      <c r="C230" s="75"/>
      <c r="D230" s="76"/>
      <c r="E230" s="76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</row>
    <row r="231" spans="1:17" x14ac:dyDescent="0.3">
      <c r="A231" s="111" t="s">
        <v>15</v>
      </c>
      <c r="B231" s="80" t="s">
        <v>96</v>
      </c>
      <c r="C231" s="6">
        <v>0.88</v>
      </c>
      <c r="D231" s="7">
        <v>0.08</v>
      </c>
      <c r="E231" s="8">
        <v>0.04</v>
      </c>
      <c r="F231" s="6">
        <v>0.88</v>
      </c>
      <c r="G231" s="7">
        <v>0.08</v>
      </c>
      <c r="H231" s="8">
        <v>0.04</v>
      </c>
      <c r="I231" s="6">
        <v>0.75</v>
      </c>
      <c r="J231" s="7">
        <v>0.2</v>
      </c>
      <c r="K231" s="8">
        <v>0.05</v>
      </c>
      <c r="L231" s="6">
        <v>0.88</v>
      </c>
      <c r="M231" s="7">
        <v>0.08</v>
      </c>
      <c r="N231" s="8">
        <v>0.04</v>
      </c>
      <c r="O231" s="6">
        <v>0.88</v>
      </c>
      <c r="P231" s="7">
        <v>0.08</v>
      </c>
      <c r="Q231" s="8">
        <v>0.04</v>
      </c>
    </row>
    <row r="232" spans="1:17" x14ac:dyDescent="0.3">
      <c r="A232" s="112"/>
      <c r="B232" s="84" t="s">
        <v>97</v>
      </c>
      <c r="C232" s="6">
        <v>0.75</v>
      </c>
      <c r="D232" s="7">
        <v>0.2</v>
      </c>
      <c r="E232" s="8">
        <v>0.05</v>
      </c>
      <c r="F232" s="6">
        <v>0.75</v>
      </c>
      <c r="G232" s="7">
        <v>0.2</v>
      </c>
      <c r="H232" s="8">
        <v>0.05</v>
      </c>
      <c r="I232" s="6">
        <v>0.88</v>
      </c>
      <c r="J232" s="7">
        <v>0.08</v>
      </c>
      <c r="K232" s="8">
        <v>0.04</v>
      </c>
      <c r="L232" s="6">
        <v>0.88</v>
      </c>
      <c r="M232" s="7">
        <v>0.08</v>
      </c>
      <c r="N232" s="8">
        <v>0.04</v>
      </c>
      <c r="O232" s="6">
        <v>0.75</v>
      </c>
      <c r="P232" s="7">
        <v>0.2</v>
      </c>
      <c r="Q232" s="8">
        <v>0.05</v>
      </c>
    </row>
    <row r="233" spans="1:17" ht="15" thickBot="1" x14ac:dyDescent="0.35">
      <c r="A233" s="112"/>
      <c r="B233" s="84" t="s">
        <v>98</v>
      </c>
      <c r="C233" s="6">
        <v>0.75</v>
      </c>
      <c r="D233" s="7">
        <v>0.2</v>
      </c>
      <c r="E233" s="8">
        <v>0.05</v>
      </c>
      <c r="F233" s="6">
        <v>0.75</v>
      </c>
      <c r="G233" s="7">
        <v>0.2</v>
      </c>
      <c r="H233" s="8">
        <v>0.05</v>
      </c>
      <c r="I233" s="6">
        <v>0.75</v>
      </c>
      <c r="J233" s="7">
        <v>0.2</v>
      </c>
      <c r="K233" s="8">
        <v>0.05</v>
      </c>
      <c r="L233" s="6">
        <v>0.88</v>
      </c>
      <c r="M233" s="7">
        <v>0.08</v>
      </c>
      <c r="N233" s="8">
        <v>0.04</v>
      </c>
      <c r="O233" s="6">
        <v>0.88</v>
      </c>
      <c r="P233" s="7">
        <v>0.08</v>
      </c>
      <c r="Q233" s="8">
        <v>0.04</v>
      </c>
    </row>
    <row r="234" spans="1:17" ht="15" thickBot="1" x14ac:dyDescent="0.35">
      <c r="A234" s="112"/>
      <c r="B234" s="114" t="s">
        <v>75</v>
      </c>
      <c r="C234" s="109" t="s">
        <v>59</v>
      </c>
      <c r="D234" s="109"/>
      <c r="E234" s="109"/>
      <c r="F234" s="109" t="s">
        <v>60</v>
      </c>
      <c r="G234" s="109"/>
      <c r="H234" s="109"/>
      <c r="I234" s="109" t="s">
        <v>61</v>
      </c>
      <c r="J234" s="109"/>
      <c r="K234" s="109"/>
      <c r="L234" s="109" t="s">
        <v>62</v>
      </c>
      <c r="M234" s="109"/>
      <c r="N234" s="109"/>
      <c r="O234" s="109" t="s">
        <v>63</v>
      </c>
      <c r="P234" s="109"/>
      <c r="Q234" s="110"/>
    </row>
    <row r="235" spans="1:17" ht="15" thickBot="1" x14ac:dyDescent="0.35">
      <c r="A235" s="112"/>
      <c r="B235" s="115"/>
      <c r="C235" s="75"/>
      <c r="D235" s="76"/>
      <c r="E235" s="76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86"/>
    </row>
    <row r="236" spans="1:17" x14ac:dyDescent="0.3">
      <c r="A236" s="112"/>
      <c r="B236" s="84" t="s">
        <v>96</v>
      </c>
      <c r="C236" s="39">
        <v>0.88</v>
      </c>
      <c r="D236" s="40">
        <v>0.08</v>
      </c>
      <c r="E236" s="41">
        <v>0.04</v>
      </c>
      <c r="F236" s="39">
        <v>0.88</v>
      </c>
      <c r="G236" s="40">
        <v>0.08</v>
      </c>
      <c r="H236" s="41">
        <v>0.04</v>
      </c>
      <c r="I236" s="39">
        <v>0.75</v>
      </c>
      <c r="J236" s="40">
        <v>0.2</v>
      </c>
      <c r="K236" s="41">
        <v>0.05</v>
      </c>
      <c r="L236" s="39">
        <v>0.88</v>
      </c>
      <c r="M236" s="40">
        <v>0.08</v>
      </c>
      <c r="N236" s="41">
        <v>0.04</v>
      </c>
      <c r="O236" s="39">
        <v>0.88</v>
      </c>
      <c r="P236" s="40">
        <v>0.08</v>
      </c>
      <c r="Q236" s="41">
        <v>0.04</v>
      </c>
    </row>
    <row r="237" spans="1:17" x14ac:dyDescent="0.3">
      <c r="A237" s="112"/>
      <c r="B237" s="84" t="s">
        <v>97</v>
      </c>
      <c r="C237" s="6">
        <v>0.75</v>
      </c>
      <c r="D237" s="7">
        <v>0.2</v>
      </c>
      <c r="E237" s="8">
        <v>0.05</v>
      </c>
      <c r="F237" s="6">
        <v>0.75</v>
      </c>
      <c r="G237" s="7">
        <v>0.2</v>
      </c>
      <c r="H237" s="8">
        <v>0.05</v>
      </c>
      <c r="I237" s="6">
        <v>0.75</v>
      </c>
      <c r="J237" s="7">
        <v>0.2</v>
      </c>
      <c r="K237" s="8">
        <v>0.05</v>
      </c>
      <c r="L237" s="6">
        <v>0.75</v>
      </c>
      <c r="M237" s="7">
        <v>0.2</v>
      </c>
      <c r="N237" s="8">
        <v>0.05</v>
      </c>
      <c r="O237" s="6">
        <v>0.75</v>
      </c>
      <c r="P237" s="7">
        <v>0.2</v>
      </c>
      <c r="Q237" s="8">
        <v>0.05</v>
      </c>
    </row>
    <row r="238" spans="1:17" ht="15" thickBot="1" x14ac:dyDescent="0.35">
      <c r="A238" s="113"/>
      <c r="B238" s="77" t="s">
        <v>98</v>
      </c>
      <c r="C238" s="9">
        <v>0.88</v>
      </c>
      <c r="D238" s="3">
        <v>0.08</v>
      </c>
      <c r="E238" s="10">
        <v>0.04</v>
      </c>
      <c r="F238" s="9">
        <v>0.88</v>
      </c>
      <c r="G238" s="3">
        <v>0.08</v>
      </c>
      <c r="H238" s="10">
        <v>0.04</v>
      </c>
      <c r="I238" s="9">
        <v>0.88</v>
      </c>
      <c r="J238" s="3">
        <v>0.08</v>
      </c>
      <c r="K238" s="10">
        <v>0.04</v>
      </c>
      <c r="L238" s="9">
        <v>0.75</v>
      </c>
      <c r="M238" s="3">
        <v>0.2</v>
      </c>
      <c r="N238" s="10">
        <v>0.05</v>
      </c>
      <c r="O238" s="9">
        <v>0.5</v>
      </c>
      <c r="P238" s="3">
        <v>0.45</v>
      </c>
      <c r="Q238" s="10">
        <v>0.05</v>
      </c>
    </row>
    <row r="239" spans="1:17" ht="15" thickBot="1" x14ac:dyDescent="0.35"/>
    <row r="240" spans="1:17" ht="15" customHeight="1" thickBot="1" x14ac:dyDescent="0.35">
      <c r="A240" s="114" t="s">
        <v>0</v>
      </c>
      <c r="B240" s="109" t="s">
        <v>54</v>
      </c>
      <c r="C240" s="109"/>
      <c r="D240" s="109"/>
      <c r="E240" s="109" t="s">
        <v>55</v>
      </c>
      <c r="F240" s="109"/>
      <c r="G240" s="109"/>
      <c r="H240" s="109" t="s">
        <v>56</v>
      </c>
      <c r="I240" s="109"/>
      <c r="J240" s="109"/>
      <c r="K240" s="109" t="s">
        <v>57</v>
      </c>
      <c r="L240" s="109"/>
      <c r="M240" s="109"/>
      <c r="N240" s="109" t="s">
        <v>58</v>
      </c>
      <c r="O240" s="109"/>
      <c r="P240" s="109"/>
    </row>
    <row r="241" spans="1:22" ht="15" thickBot="1" x14ac:dyDescent="0.35">
      <c r="A241" s="115"/>
      <c r="B241" s="91"/>
      <c r="C241" s="74"/>
      <c r="D241" s="74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</row>
    <row r="242" spans="1:22" x14ac:dyDescent="0.3">
      <c r="A242" s="44" t="s">
        <v>99</v>
      </c>
      <c r="B242" s="39">
        <f>1-((1-C141)^$O$32*(1-C151)^$O$33*(1-C161)^$O$34*(1-C171)^$O$35*(1-C181)^$O$36*(1-C191)^$O$37*(1-C201)^$O$38*(1-C211)^$O$39*(1-C221)^$O$40*(1-C231)^$O$41)</f>
        <v>0.81006586212328147</v>
      </c>
      <c r="C242" s="81">
        <f>D141^$O$32*D151^$O$33*D161^$O$34*D171^$O$35*D181^$O$36*D191^$O$37*D201^$O$38*D211^$O$39*D221^$O$40*D231^$O$41</f>
        <v>0.14091560908519615</v>
      </c>
      <c r="D242" s="81">
        <f>1-(B242+C242)</f>
        <v>4.9018528791522353E-2</v>
      </c>
      <c r="E242" s="39">
        <f>1-((1-F141)^$O$32*(1-F151)^$O$33*(1-F161)^$O$34*(1-F171)^$O$35*(1-F181)^$O$36*(1-F191)^$O$37*(1-F201)^$O$38*(1-F211)^$O$39*(1-F221)^$O$40*(1-F231)^$O$41)</f>
        <v>0.80781369668970548</v>
      </c>
      <c r="F242" s="81">
        <f>G141^$O$32*G151^$O$33*G161^$O$34*G171^$O$35*G181^$O$36*G191^$O$37*G201^$O$38*G211^$O$39*G221^$O$40*G231^$O$41</f>
        <v>0.14341315760198323</v>
      </c>
      <c r="G242" s="81">
        <f>1-(E242+F242)</f>
        <v>4.8773145708311261E-2</v>
      </c>
      <c r="H242" s="39">
        <f>1-((1-I141)^$O$32*(1-I151)^$O$33*(1-I161)^$O$34*(1-I171)^$O$35*(1-I181)^$O$36*(1-I191)^$O$37*(1-I201)^$O$38*(1-I211)^$O$39*(1-I221)^$O$40*(1-I231)^$O$41)</f>
        <v>0.78880579725755284</v>
      </c>
      <c r="I242" s="81">
        <f>J141^$O$32*J151^$O$33*J161^$O$34*J171^$O$35*J181^$O$36*J191^$O$37*J201^$O$38*J211^$O$39*J221^$O$40*J231^$O$41</f>
        <v>0.15960426555139218</v>
      </c>
      <c r="J242" s="81">
        <f>1-(H242+I242)</f>
        <v>5.158993719105498E-2</v>
      </c>
      <c r="K242" s="39">
        <f>1-((1-L141)^$O$32*(1-L151)^$O$33*(1-L161)^$O$34*(1-L171)^$O$35*(1-L181)^$O$36*(1-L191)^$O$37*(1-L201)^$O$38*(1-L211)^$O$39*(1-L221)^$O$40*(1-L231)^$O$41)</f>
        <v>0.80492863691523175</v>
      </c>
      <c r="L242" s="81">
        <f>M141^$O$32*M151^$O$33*M161^$O$34*M171^$O$35*M181^$O$36*M191^$O$37*M201^$O$38*M211^$O$39*M221^$O$40*M231^$O$41</f>
        <v>0.14521605905843832</v>
      </c>
      <c r="M242" s="81">
        <f>1-(K242+L242)</f>
        <v>4.9855304026329872E-2</v>
      </c>
      <c r="N242" s="39">
        <f>1-((1-O141)^$O$32*(1-O151)^$O$33*(1-O161)^$O$34*(1-O171)^$O$35*(1-O181)^$O$36*(1-O191)^$O$37*(1-O201)^$O$38*(1-O211)^$O$39*(1-O221)^$O$40*(1-O231)^$O$41)</f>
        <v>0.85563480490959187</v>
      </c>
      <c r="O242" s="81">
        <f>P141^$O$32*P151^$O$33*P161^$O$34*P171^$O$35*P181^$O$36*P191^$O$37*P201^$O$38*P211^$O$39*P221^$O$40*P231^$O$41</f>
        <v>0.10076588007045195</v>
      </c>
      <c r="P242" s="82">
        <f>1-(N242+O242)</f>
        <v>4.3599315019956175E-2</v>
      </c>
    </row>
    <row r="243" spans="1:22" x14ac:dyDescent="0.3">
      <c r="A243" s="44" t="s">
        <v>100</v>
      </c>
      <c r="B243" s="6">
        <f t="shared" ref="B243:B244" si="16">1-((1-C142)^$O$32*(1-C152)^$O$33*(1-C162)^$O$34*(1-C172)^$O$35*(1-C182)^$O$36*(1-C192)^$O$37*(1-C202)^$O$38*(1-C212)^$O$39*(1-C222)^$O$40*(1-C232)^$O$41)</f>
        <v>0.75857746720894093</v>
      </c>
      <c r="C243" s="13">
        <f t="shared" ref="C243:C244" si="17">D142^$O$32*D152^$O$33*D162^$O$34*D172^$O$35*D182^$O$36*D192^$O$37*D202^$O$38*D212^$O$39*D222^$O$40*D232^$O$41</f>
        <v>0.18886766596349053</v>
      </c>
      <c r="D243" s="13">
        <f t="shared" ref="D243:D244" si="18">1-(B243+C243)</f>
        <v>5.2554866827568603E-2</v>
      </c>
      <c r="E243" s="6">
        <f t="shared" ref="E243:E244" si="19">1-((1-F142)^$O$32*(1-F152)^$O$33*(1-F162)^$O$34*(1-F172)^$O$35*(1-F182)^$O$36*(1-F192)^$O$37*(1-F202)^$O$38*(1-F212)^$O$39*(1-F222)^$O$40*(1-F232)^$O$41)</f>
        <v>0.71755592075325092</v>
      </c>
      <c r="F243" s="13">
        <f t="shared" ref="F243:F244" si="20">G142^$O$32*G152^$O$33*G162^$O$34*G172^$O$35*G182^$O$36*G192^$O$37*G202^$O$38*G212^$O$39*G222^$O$40*G232^$O$41</f>
        <v>0.22747640586144371</v>
      </c>
      <c r="G243" s="13">
        <f t="shared" ref="G243:G244" si="21">1-(E243+F243)</f>
        <v>5.4967673385305393E-2</v>
      </c>
      <c r="H243" s="6">
        <f t="shared" ref="H243:H244" si="22">1-((1-I142)^$O$32*(1-I152)^$O$33*(1-I162)^$O$34*(1-I172)^$O$35*(1-I182)^$O$36*(1-I192)^$O$37*(1-I202)^$O$38*(1-I212)^$O$39*(1-I222)^$O$40*(1-I232)^$O$41)</f>
        <v>0.80323125914505289</v>
      </c>
      <c r="I243" s="13">
        <f t="shared" ref="I243:I244" si="23">J142^$O$32*J152^$O$33*J162^$O$34*J172^$O$35*J182^$O$36*J192^$O$37*J202^$O$38*J212^$O$39*J222^$O$40*J232^$O$41</f>
        <v>0.14623563261278669</v>
      </c>
      <c r="J243" s="13">
        <f t="shared" ref="J243:J244" si="24">1-(H243+I243)</f>
        <v>5.0533108242160396E-2</v>
      </c>
      <c r="K243" s="6">
        <f t="shared" ref="K243:K244" si="25">1-((1-L142)^$O$32*(1-L152)^$O$33*(1-L162)^$O$34*(1-L172)^$O$35*(1-L182)^$O$36*(1-L192)^$O$37*(1-L202)^$O$38*(1-L212)^$O$39*(1-L222)^$O$40*(1-L232)^$O$41)</f>
        <v>0.72125561931905424</v>
      </c>
      <c r="L243" s="13">
        <f t="shared" ref="L243:L244" si="26">M142^$O$32*M152^$O$33*M162^$O$34*M172^$O$35*M182^$O$36*M192^$O$37*M202^$O$38*M212^$O$39*M222^$O$40*M232^$O$41</f>
        <v>0.22236444445135953</v>
      </c>
      <c r="M243" s="13">
        <f t="shared" ref="M243:M244" si="27">1-(K243+L243)</f>
        <v>5.6379936229586258E-2</v>
      </c>
      <c r="N243" s="6">
        <f t="shared" ref="N243:N244" si="28">1-((1-O142)^$O$32*(1-O152)^$O$33*(1-O162)^$O$34*(1-O172)^$O$35*(1-O182)^$O$36*(1-O192)^$O$37*(1-O202)^$O$38*(1-O212)^$O$39*(1-O222)^$O$40*(1-O232)^$O$41)</f>
        <v>0.81512181553732255</v>
      </c>
      <c r="O243" s="13">
        <f t="shared" ref="O243:O244" si="29">P142^$O$32*P152^$O$33*P162^$O$34*P172^$O$35*P182^$O$36*P192^$O$37*P202^$O$38*P212^$O$39*P222^$O$40*P232^$O$41</f>
        <v>0.13722116782224059</v>
      </c>
      <c r="P243" s="85">
        <f t="shared" ref="P243:P244" si="30">1-(N243+O243)</f>
        <v>4.7657016640436867E-2</v>
      </c>
      <c r="S243" s="161" t="s">
        <v>118</v>
      </c>
      <c r="T243" s="161"/>
      <c r="U243" s="161"/>
      <c r="V243" s="161"/>
    </row>
    <row r="244" spans="1:22" ht="15" thickBot="1" x14ac:dyDescent="0.35">
      <c r="A244" s="44" t="s">
        <v>101</v>
      </c>
      <c r="B244" s="9">
        <f t="shared" si="16"/>
        <v>0.8516141772496858</v>
      </c>
      <c r="C244" s="78">
        <f t="shared" si="17"/>
        <v>0.10394240898973285</v>
      </c>
      <c r="D244" s="78">
        <f t="shared" si="18"/>
        <v>4.4443413760581363E-2</v>
      </c>
      <c r="E244" s="9">
        <f t="shared" si="19"/>
        <v>0.83408532563498716</v>
      </c>
      <c r="F244" s="78">
        <f t="shared" si="20"/>
        <v>0.11948982257382668</v>
      </c>
      <c r="G244" s="78">
        <f t="shared" si="21"/>
        <v>4.6424851791186161E-2</v>
      </c>
      <c r="H244" s="9">
        <f t="shared" si="22"/>
        <v>0.8146254207648731</v>
      </c>
      <c r="I244" s="78">
        <f t="shared" si="23"/>
        <v>0.13554030549248969</v>
      </c>
      <c r="J244" s="78">
        <f t="shared" si="24"/>
        <v>4.9834273742637158E-2</v>
      </c>
      <c r="K244" s="9">
        <f t="shared" si="25"/>
        <v>0.84420844136958084</v>
      </c>
      <c r="L244" s="78">
        <f t="shared" si="26"/>
        <v>0.1104583193732276</v>
      </c>
      <c r="M244" s="78">
        <f t="shared" si="27"/>
        <v>4.5333239257191571E-2</v>
      </c>
      <c r="N244" s="9">
        <f t="shared" si="28"/>
        <v>0.87089026961010152</v>
      </c>
      <c r="O244" s="78">
        <f t="shared" si="29"/>
        <v>8.7651925171448097E-2</v>
      </c>
      <c r="P244" s="88">
        <f t="shared" si="30"/>
        <v>4.1457805218450439E-2</v>
      </c>
      <c r="S244" s="161"/>
      <c r="T244" s="161"/>
      <c r="U244" s="161"/>
      <c r="V244" s="161"/>
    </row>
    <row r="245" spans="1:22" ht="15" customHeight="1" thickBot="1" x14ac:dyDescent="0.35">
      <c r="A245" s="114" t="s">
        <v>0</v>
      </c>
      <c r="B245" s="118" t="s">
        <v>59</v>
      </c>
      <c r="C245" s="118"/>
      <c r="D245" s="118"/>
      <c r="E245" s="118" t="s">
        <v>60</v>
      </c>
      <c r="F245" s="118"/>
      <c r="G245" s="118"/>
      <c r="H245" s="118" t="s">
        <v>61</v>
      </c>
      <c r="I245" s="118"/>
      <c r="J245" s="118"/>
      <c r="K245" s="118" t="s">
        <v>62</v>
      </c>
      <c r="L245" s="118"/>
      <c r="M245" s="118"/>
      <c r="N245" s="118" t="s">
        <v>63</v>
      </c>
      <c r="O245" s="118"/>
      <c r="P245" s="160"/>
      <c r="S245" s="161"/>
      <c r="T245" s="161"/>
      <c r="U245" s="161"/>
      <c r="V245" s="161"/>
    </row>
    <row r="246" spans="1:22" ht="15" thickBot="1" x14ac:dyDescent="0.35">
      <c r="A246" s="115"/>
      <c r="B246" s="91"/>
      <c r="C246" s="74"/>
      <c r="D246" s="74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S246" s="161"/>
      <c r="T246" s="161"/>
      <c r="U246" s="161"/>
      <c r="V246" s="161"/>
    </row>
    <row r="247" spans="1:22" x14ac:dyDescent="0.3">
      <c r="A247" s="79" t="s">
        <v>99</v>
      </c>
      <c r="B247" s="39">
        <f>1-((1-C146)^$O$32*(1-C156)^$O$33*(1-C166)^$O$34*(1-C176)^$O$35*(1-C186)^$O$36*(1-C196)^$O$37*(1-C206)^$O$38*(1-C216)^$O$39*(1-C226)^$O$40*(1-C236)^$O$41)</f>
        <v>0.81396040554058346</v>
      </c>
      <c r="C247" s="81">
        <f>D146^$O$32*D156^$O$33*D166^$O$34*D176^$O$35*D186^$O$36*D196^$O$37*D206^$O$38*D216^$O$39*D226^$O$40*D236^$O$41</f>
        <v>0.13681496266755686</v>
      </c>
      <c r="D247" s="81">
        <f>1-(B247+C247)</f>
        <v>4.9224631791859652E-2</v>
      </c>
      <c r="E247" s="39">
        <f>1-((1-F146)^$O$32*(1-F156)^$O$33*(1-F166)^$O$34*(1-F176)^$O$35*(1-F186)^$O$36*(1-F196)^$O$37*(1-F206)^$O$38*(1-F216)^$O$39*(1-F226)^$O$40*(1-F236)^$O$41)</f>
        <v>0.83451900069344853</v>
      </c>
      <c r="F247" s="81">
        <f>G146^$O$32*G156^$O$33*G166^$O$34*G176^$O$35*G186^$O$36*G196^$O$37*G206^$O$38*G216^$O$39*G226^$O$40*G236^$O$41</f>
        <v>0.11820698923374814</v>
      </c>
      <c r="G247" s="81">
        <f>1-(E247+F247)</f>
        <v>4.7274010072803296E-2</v>
      </c>
      <c r="H247" s="39">
        <f>1-((1-I146)^$O$32*(1-I156)^$O$33*(1-I166)^$O$34*(1-I176)^$O$35*(1-I186)^$O$36*(1-I196)^$O$37*(1-I206)^$O$38*(1-I216)^$O$39*(1-I226)^$O$40*(1-I236)^$O$41)</f>
        <v>0.81428989761690462</v>
      </c>
      <c r="I247" s="81">
        <f>J146^$O$32*J156^$O$33*J166^$O$34*J176^$O$35*J186^$O$36*J196^$O$37*J206^$O$38*J216^$O$39*J226^$O$40*J236^$O$41</f>
        <v>0.13799245085430228</v>
      </c>
      <c r="J247" s="81">
        <f>1-(H247+I247)</f>
        <v>4.7717651528793148E-2</v>
      </c>
      <c r="K247" s="39">
        <f>1-((1-L146)^$O$32*(1-L156)^$O$33*(1-L166)^$O$34*(1-L176)^$O$35*(1-L186)^$O$36*(1-L196)^$O$37*(1-L206)^$O$38*(1-L216)^$O$39*(1-L226)^$O$40*(1-L236)^$O$41)</f>
        <v>0.79159116005447583</v>
      </c>
      <c r="L247" s="81">
        <f>M146^$O$32*M156^$O$33*M166^$O$34*M176^$O$35*M186^$O$36*M196^$O$37*M206^$O$38*M216^$O$39*M226^$O$40*M236^$O$41</f>
        <v>0.15822095577079337</v>
      </c>
      <c r="M247" s="81">
        <f>1-(K247+L247)</f>
        <v>5.0187884174730746E-2</v>
      </c>
      <c r="N247" s="39">
        <f>1-((1-O146)^$O$32*(1-O156)^$O$33*(1-O166)^$O$34*(1-O176)^$O$35*(1-O186)^$O$36*(1-O196)^$O$37*(1-O206)^$O$38*(1-O216)^$O$39*(1-O226)^$O$40*(1-O236)^$O$41)</f>
        <v>0.77561025022913466</v>
      </c>
      <c r="O247" s="81">
        <f>P146^$O$32*P156^$O$33*P166^$O$34*P176^$O$35*P186^$O$36*P196^$O$37*P206^$O$38*P216^$O$39*P226^$O$40*P236^$O$41</f>
        <v>0.17126225342346166</v>
      </c>
      <c r="P247" s="82">
        <f>1-(N247+O247)</f>
        <v>5.3127496347403658E-2</v>
      </c>
      <c r="S247" s="161"/>
      <c r="T247" s="161"/>
      <c r="U247" s="161"/>
      <c r="V247" s="161"/>
    </row>
    <row r="248" spans="1:22" x14ac:dyDescent="0.3">
      <c r="A248" s="83" t="s">
        <v>100</v>
      </c>
      <c r="B248" s="6">
        <f t="shared" ref="B248:B249" si="31">1-((1-C147)^$O$32*(1-C157)^$O$33*(1-C167)^$O$34*(1-C177)^$O$35*(1-C187)^$O$36*(1-C197)^$O$37*(1-C207)^$O$38*(1-C217)^$O$39*(1-C227)^$O$40*(1-C237)^$O$41)</f>
        <v>0.81731260822380936</v>
      </c>
      <c r="C248" s="13">
        <f t="shared" ref="C248:C249" si="32">D147^$O$32*D157^$O$33*D167^$O$34*D177^$O$35*D187^$O$36*D197^$O$37*D207^$O$38*D217^$O$39*D227^$O$40*D237^$O$41</f>
        <v>0.13480909594579832</v>
      </c>
      <c r="D248" s="13">
        <f t="shared" ref="D248:D249" si="33">1-(B248+C248)</f>
        <v>4.787829583039227E-2</v>
      </c>
      <c r="E248" s="6">
        <f t="shared" ref="E248:E249" si="34">1-((1-F147)^$O$32*(1-F157)^$O$33*(1-F167)^$O$34*(1-F177)^$O$35*(1-F187)^$O$36*(1-F197)^$O$37*(1-F207)^$O$38*(1-F217)^$O$39*(1-F227)^$O$40*(1-F237)^$O$41)</f>
        <v>0.80369066853020588</v>
      </c>
      <c r="F248" s="13">
        <f t="shared" ref="F248:F249" si="35">G147^$O$32*G157^$O$33*G167^$O$34*G177^$O$35*G187^$O$36*G197^$O$37*G207^$O$38*G217^$O$39*G227^$O$40*G237^$O$41</f>
        <v>0.14630724219324026</v>
      </c>
      <c r="G248" s="13">
        <f t="shared" ref="G248:G249" si="36">1-(E248+F248)</f>
        <v>5.0002089276553807E-2</v>
      </c>
      <c r="H248" s="6">
        <f t="shared" ref="H248:H249" si="37">1-((1-I147)^$O$32*(1-I157)^$O$33*(1-I167)^$O$34*(1-I177)^$O$35*(1-I187)^$O$36*(1-I197)^$O$37*(1-I207)^$O$38*(1-I217)^$O$39*(1-I227)^$O$40*(1-I237)^$O$41)</f>
        <v>0.81964120612109315</v>
      </c>
      <c r="I248" s="13">
        <f t="shared" ref="I248:I249" si="38">J147^$O$32*J157^$O$33*J167^$O$34*J177^$O$35*J187^$O$36*J197^$O$37*J207^$O$38*J217^$O$39*J227^$O$40*J237^$O$41</f>
        <v>0.13304630690271643</v>
      </c>
      <c r="J248" s="13">
        <f t="shared" ref="J248:J249" si="39">1-(H248+I248)</f>
        <v>4.7312486976190393E-2</v>
      </c>
      <c r="K248" s="6">
        <f t="shared" ref="K248:K249" si="40">1-((1-L147)^$O$32*(1-L157)^$O$33*(1-L167)^$O$34*(1-L177)^$O$35*(1-L187)^$O$36*(1-L197)^$O$37*(1-L207)^$O$38*(1-L217)^$O$39*(1-L227)^$O$40*(1-L237)^$O$41)</f>
        <v>0.69772008758896176</v>
      </c>
      <c r="L248" s="13">
        <f t="shared" ref="L248:L249" si="41">M147^$O$32*M157^$O$33*M167^$O$34*M177^$O$35*M187^$O$36*M197^$O$37*M207^$O$38*M217^$O$39*M227^$O$40*M237^$O$41</f>
        <v>0.24889461916245728</v>
      </c>
      <c r="M248" s="13">
        <f t="shared" ref="M248:M249" si="42">1-(K248+L248)</f>
        <v>5.3385293248580989E-2</v>
      </c>
      <c r="N248" s="6">
        <f t="shared" ref="N248:N249" si="43">1-((1-O147)^$O$32*(1-O157)^$O$33*(1-O167)^$O$34*(1-O177)^$O$35*(1-O187)^$O$36*(1-O197)^$O$37*(1-O207)^$O$38*(1-O217)^$O$39*(1-O227)^$O$40*(1-O237)^$O$41)</f>
        <v>0.69851161252786054</v>
      </c>
      <c r="O248" s="13">
        <f t="shared" ref="O248:O249" si="44">P147^$O$32*P157^$O$33*P167^$O$34*P177^$O$35*P187^$O$36*P197^$O$37*P207^$O$38*P217^$O$39*P227^$O$40*P237^$O$41</f>
        <v>0.24515276586136356</v>
      </c>
      <c r="P248" s="85">
        <f t="shared" ref="P248:P249" si="45">1-(N248+O248)</f>
        <v>5.6335621610775877E-2</v>
      </c>
    </row>
    <row r="249" spans="1:22" ht="15" thickBot="1" x14ac:dyDescent="0.35">
      <c r="A249" s="87" t="s">
        <v>101</v>
      </c>
      <c r="B249" s="9">
        <f t="shared" si="31"/>
        <v>0.75477723553969367</v>
      </c>
      <c r="C249" s="78">
        <f t="shared" si="32"/>
        <v>0.1904595502083177</v>
      </c>
      <c r="D249" s="78">
        <f t="shared" si="33"/>
        <v>5.4763214251988601E-2</v>
      </c>
      <c r="E249" s="9">
        <f t="shared" si="34"/>
        <v>0.81976214519845136</v>
      </c>
      <c r="F249" s="78">
        <f t="shared" si="35"/>
        <v>0.13108175476199799</v>
      </c>
      <c r="G249" s="78">
        <f t="shared" si="36"/>
        <v>4.9156100039550621E-2</v>
      </c>
      <c r="H249" s="9">
        <f t="shared" si="37"/>
        <v>0.82856264625266562</v>
      </c>
      <c r="I249" s="78">
        <f t="shared" si="38"/>
        <v>0.12447554960927514</v>
      </c>
      <c r="J249" s="78">
        <f t="shared" si="39"/>
        <v>4.6961804138059282E-2</v>
      </c>
      <c r="K249" s="9">
        <f t="shared" si="40"/>
        <v>0.80423994793934206</v>
      </c>
      <c r="L249" s="78">
        <f t="shared" si="41"/>
        <v>0.14555835687716631</v>
      </c>
      <c r="M249" s="78">
        <f t="shared" si="42"/>
        <v>5.0201695183491601E-2</v>
      </c>
      <c r="N249" s="9">
        <f t="shared" si="43"/>
        <v>0.79236833446960719</v>
      </c>
      <c r="O249" s="78">
        <f t="shared" si="44"/>
        <v>0.15611251719632568</v>
      </c>
      <c r="P249" s="88">
        <f t="shared" si="45"/>
        <v>5.1519148334067122E-2</v>
      </c>
    </row>
    <row r="251" spans="1:22" ht="15" thickBot="1" x14ac:dyDescent="0.35"/>
    <row r="252" spans="1:22" ht="15" thickBot="1" x14ac:dyDescent="0.35">
      <c r="A252" s="103" t="s">
        <v>30</v>
      </c>
      <c r="B252" s="106" t="s">
        <v>75</v>
      </c>
      <c r="C252" s="106"/>
      <c r="D252" s="106"/>
    </row>
    <row r="253" spans="1:22" x14ac:dyDescent="0.3">
      <c r="A253" s="104"/>
      <c r="B253" s="107" t="s">
        <v>102</v>
      </c>
      <c r="C253" s="107" t="s">
        <v>103</v>
      </c>
      <c r="D253" s="107" t="s">
        <v>104</v>
      </c>
    </row>
    <row r="254" spans="1:22" ht="15" thickBot="1" x14ac:dyDescent="0.35">
      <c r="A254" s="105"/>
      <c r="B254" s="159"/>
      <c r="C254" s="159"/>
      <c r="D254" s="159"/>
    </row>
    <row r="255" spans="1:22" x14ac:dyDescent="0.3">
      <c r="A255" s="49" t="s">
        <v>41</v>
      </c>
      <c r="B255" s="57">
        <f>(3+B242-2*C242-D242)/4</f>
        <v>0.86980402879034169</v>
      </c>
      <c r="C255" s="61">
        <f>(3+B243-2*C243-D243)/4</f>
        <v>0.83207181711359779</v>
      </c>
      <c r="D255" s="62">
        <f>(3+B244-2*C244-D244)/4</f>
        <v>0.89982148637740966</v>
      </c>
    </row>
    <row r="256" spans="1:22" x14ac:dyDescent="0.3">
      <c r="A256" s="50" t="s">
        <v>42</v>
      </c>
      <c r="B256" s="59">
        <f>(3+E242-2*F242-G242)/4</f>
        <v>0.86805355894435687</v>
      </c>
      <c r="C256" s="29">
        <f>(3+E243-2*F243-G243)/4</f>
        <v>0.80190885891126451</v>
      </c>
      <c r="D256" s="63">
        <f>(3+E244-2*F244-G244)/4</f>
        <v>0.88717020717403705</v>
      </c>
    </row>
    <row r="257" spans="1:10" x14ac:dyDescent="0.3">
      <c r="A257" s="50" t="s">
        <v>43</v>
      </c>
      <c r="B257" s="59">
        <f>(3+H242-2*I242-J242)/4</f>
        <v>0.85450183224092846</v>
      </c>
      <c r="C257" s="29">
        <f>(3+H243-2*I243-J243)/4</f>
        <v>0.86505672141932977</v>
      </c>
      <c r="D257" s="63">
        <f>(3+H244-2*I244-J244)/4</f>
        <v>0.87342763400931411</v>
      </c>
      <c r="F257" s="154" t="s">
        <v>119</v>
      </c>
      <c r="G257" s="154"/>
      <c r="H257" s="154"/>
      <c r="I257" s="154"/>
      <c r="J257" s="154"/>
    </row>
    <row r="258" spans="1:10" x14ac:dyDescent="0.3">
      <c r="A258" s="50" t="s">
        <v>44</v>
      </c>
      <c r="B258" s="59">
        <f>(3+K242-2*L242-M242)/4</f>
        <v>0.86616030369300634</v>
      </c>
      <c r="C258" s="29">
        <f>(3+K243-2*L243-M243)/4</f>
        <v>0.80503669854668725</v>
      </c>
      <c r="D258" s="63">
        <f>(3+K244-2*L244-M244)/4</f>
        <v>0.89448964084148352</v>
      </c>
      <c r="F258" s="154"/>
      <c r="G258" s="154"/>
      <c r="H258" s="154"/>
      <c r="I258" s="154"/>
      <c r="J258" s="154"/>
    </row>
    <row r="259" spans="1:10" x14ac:dyDescent="0.3">
      <c r="A259" s="50" t="s">
        <v>45</v>
      </c>
      <c r="B259" s="59">
        <f>(3+N242-2*O242-P242)/4</f>
        <v>0.90262593243718281</v>
      </c>
      <c r="C259" s="29">
        <f>(3+N243-2*O243-P243)/4</f>
        <v>0.87325561581310107</v>
      </c>
      <c r="D259" s="63">
        <f>(3+N244-2*O244-P244)/4</f>
        <v>0.91353215351218875</v>
      </c>
      <c r="F259" s="154"/>
      <c r="G259" s="154"/>
      <c r="H259" s="154"/>
      <c r="I259" s="154"/>
      <c r="J259" s="154"/>
    </row>
    <row r="260" spans="1:10" x14ac:dyDescent="0.3">
      <c r="A260" s="50" t="s">
        <v>46</v>
      </c>
      <c r="B260" s="59">
        <f>(3+B247-2*C247-D247)/4</f>
        <v>0.87277646210340265</v>
      </c>
      <c r="C260" s="29">
        <f>(3+B248-2*C248-D248)/4</f>
        <v>0.87495403012545503</v>
      </c>
      <c r="D260" s="63">
        <f>(3+B249-2*C249-D249)/4</f>
        <v>0.82977373021776746</v>
      </c>
      <c r="F260" s="154"/>
      <c r="G260" s="154"/>
      <c r="H260" s="154"/>
      <c r="I260" s="154"/>
      <c r="J260" s="154"/>
    </row>
    <row r="261" spans="1:10" x14ac:dyDescent="0.3">
      <c r="A261" s="50" t="s">
        <v>47</v>
      </c>
      <c r="B261" s="59">
        <f>(3+E247-2*F247-G247)/4</f>
        <v>0.88770775303828731</v>
      </c>
      <c r="C261" s="29">
        <f>(3+E248-2*F248-G248)/4</f>
        <v>0.86526852371679286</v>
      </c>
      <c r="D261" s="63">
        <f>(3+E249-2*F249-G249)/4</f>
        <v>0.87711063390872623</v>
      </c>
    </row>
    <row r="262" spans="1:10" x14ac:dyDescent="0.3">
      <c r="A262" s="50" t="s">
        <v>48</v>
      </c>
      <c r="B262" s="59">
        <f>(3+H247-2*I247-J247)/4</f>
        <v>0.87264683609487681</v>
      </c>
      <c r="C262" s="29">
        <f>(3+H248-2*I248-J248)/4</f>
        <v>0.8765590263348676</v>
      </c>
      <c r="D262" s="63">
        <f>(3+H249-2*I249-J249)/4</f>
        <v>0.88316243572401398</v>
      </c>
    </row>
    <row r="263" spans="1:10" x14ac:dyDescent="0.3">
      <c r="A263" s="50" t="s">
        <v>49</v>
      </c>
      <c r="B263" s="59">
        <f>(3+K247-2*L247-M247)/4</f>
        <v>0.85624034108453961</v>
      </c>
      <c r="C263" s="29">
        <f>(3+K248-2*L248-M248)/4</f>
        <v>0.78663638900386657</v>
      </c>
      <c r="D263" s="63">
        <f>(3+K249-2*L249-M249)/4</f>
        <v>0.86573038475037944</v>
      </c>
    </row>
    <row r="264" spans="1:10" ht="15" thickBot="1" x14ac:dyDescent="0.35">
      <c r="A264" s="52" t="s">
        <v>53</v>
      </c>
      <c r="B264" s="60">
        <f>(3+N247-2*O247-P247)/4</f>
        <v>0.84498956175870199</v>
      </c>
      <c r="C264" s="30">
        <f>(3+N248-2*O248-P248)/4</f>
        <v>0.78796761479858934</v>
      </c>
      <c r="D264" s="64">
        <f>(3+N249-2*O249-P249)/4</f>
        <v>0.85715603793572226</v>
      </c>
    </row>
    <row r="265" spans="1:10" ht="15" thickBot="1" x14ac:dyDescent="0.35"/>
    <row r="266" spans="1:10" ht="15" thickBot="1" x14ac:dyDescent="0.35">
      <c r="A266" s="103" t="s">
        <v>30</v>
      </c>
      <c r="B266" s="106" t="s">
        <v>75</v>
      </c>
      <c r="C266" s="106"/>
      <c r="D266" s="106"/>
    </row>
    <row r="267" spans="1:10" x14ac:dyDescent="0.3">
      <c r="A267" s="104"/>
      <c r="B267" s="107" t="s">
        <v>102</v>
      </c>
      <c r="C267" s="107" t="s">
        <v>103</v>
      </c>
      <c r="D267" s="107" t="s">
        <v>104</v>
      </c>
    </row>
    <row r="268" spans="1:10" ht="15" thickBot="1" x14ac:dyDescent="0.35">
      <c r="A268" s="105"/>
      <c r="B268" s="108"/>
      <c r="C268" s="108"/>
      <c r="D268" s="108"/>
    </row>
    <row r="269" spans="1:10" x14ac:dyDescent="0.3">
      <c r="A269" s="49" t="s">
        <v>41</v>
      </c>
      <c r="B269" s="57">
        <f>((B255-MIN($B255:$D255))/(MAX($B255:$D255)-MIN($B255:$D255)))</f>
        <v>0.55693573248037032</v>
      </c>
      <c r="C269" s="61">
        <f t="shared" ref="C269:D269" si="46">((C255-MIN($B255:$D255))/(MAX($B255:$D255)-MIN($B255:$D255)))</f>
        <v>0</v>
      </c>
      <c r="D269" s="62">
        <f t="shared" si="46"/>
        <v>1</v>
      </c>
      <c r="F269" s="154" t="s">
        <v>120</v>
      </c>
      <c r="G269" s="154"/>
      <c r="H269" s="154"/>
      <c r="I269" s="154"/>
      <c r="J269" s="154"/>
    </row>
    <row r="270" spans="1:10" x14ac:dyDescent="0.3">
      <c r="A270" s="50" t="s">
        <v>42</v>
      </c>
      <c r="B270" s="59">
        <f>((B256-MIN($B256:$D256))/(MAX($B256:$D256)-MIN($B256:$D256)))</f>
        <v>0.7757876386054402</v>
      </c>
      <c r="C270" s="29">
        <f t="shared" ref="C270" si="47">((C256-MIN($B256:$D256))/(MAX($B256:$D256)-MIN($B256:$D256)))</f>
        <v>0</v>
      </c>
      <c r="D270" s="63">
        <f>((D256-MIN($B256:$D256))/(MAX($B256:$D256)-MIN($B256:$D256)))</f>
        <v>1</v>
      </c>
      <c r="F270" s="154"/>
      <c r="G270" s="154"/>
      <c r="H270" s="154"/>
      <c r="I270" s="154"/>
      <c r="J270" s="154"/>
    </row>
    <row r="271" spans="1:10" x14ac:dyDescent="0.3">
      <c r="A271" s="50" t="s">
        <v>43</v>
      </c>
      <c r="B271" s="59">
        <f t="shared" ref="B271:D278" si="48">((B257-MIN($B257:$D257))/(MAX($B257:$D257)-MIN($B257:$D257)))</f>
        <v>0</v>
      </c>
      <c r="C271" s="29">
        <f t="shared" si="48"/>
        <v>0.5576983901433743</v>
      </c>
      <c r="D271" s="63">
        <f t="shared" si="48"/>
        <v>1</v>
      </c>
      <c r="F271" s="154"/>
      <c r="G271" s="154"/>
      <c r="H271" s="154"/>
      <c r="I271" s="154"/>
      <c r="J271" s="154"/>
    </row>
    <row r="272" spans="1:10" x14ac:dyDescent="0.3">
      <c r="A272" s="50" t="s">
        <v>44</v>
      </c>
      <c r="B272" s="59">
        <f t="shared" si="48"/>
        <v>0.68330457979664261</v>
      </c>
      <c r="C272" s="29">
        <f t="shared" si="48"/>
        <v>0</v>
      </c>
      <c r="D272" s="63">
        <f t="shared" si="48"/>
        <v>1</v>
      </c>
      <c r="F272" s="154"/>
      <c r="G272" s="154"/>
      <c r="H272" s="154"/>
      <c r="I272" s="154"/>
      <c r="J272" s="154"/>
    </row>
    <row r="273" spans="1:11" x14ac:dyDescent="0.3">
      <c r="A273" s="50" t="s">
        <v>45</v>
      </c>
      <c r="B273" s="59">
        <f t="shared" si="48"/>
        <v>0.72921651914352659</v>
      </c>
      <c r="C273" s="29">
        <f t="shared" si="48"/>
        <v>0</v>
      </c>
      <c r="D273" s="63">
        <f t="shared" si="48"/>
        <v>1</v>
      </c>
    </row>
    <row r="274" spans="1:11" x14ac:dyDescent="0.3">
      <c r="A274" s="50" t="s">
        <v>46</v>
      </c>
      <c r="B274" s="59">
        <f t="shared" si="48"/>
        <v>0.95180270988679605</v>
      </c>
      <c r="C274" s="29">
        <f t="shared" si="48"/>
        <v>1</v>
      </c>
      <c r="D274" s="63">
        <f t="shared" si="48"/>
        <v>0</v>
      </c>
    </row>
    <row r="275" spans="1:11" x14ac:dyDescent="0.3">
      <c r="A275" s="50" t="s">
        <v>47</v>
      </c>
      <c r="B275" s="59">
        <f t="shared" si="48"/>
        <v>1</v>
      </c>
      <c r="C275" s="29">
        <f t="shared" si="48"/>
        <v>0</v>
      </c>
      <c r="D275" s="63">
        <f t="shared" si="48"/>
        <v>0.52774139531565223</v>
      </c>
    </row>
    <row r="276" spans="1:11" x14ac:dyDescent="0.3">
      <c r="A276" s="50" t="s">
        <v>48</v>
      </c>
      <c r="B276" s="59">
        <f t="shared" si="48"/>
        <v>0</v>
      </c>
      <c r="C276" s="29">
        <f t="shared" si="48"/>
        <v>0.37203681938885214</v>
      </c>
      <c r="D276" s="63">
        <f t="shared" si="48"/>
        <v>1</v>
      </c>
    </row>
    <row r="277" spans="1:11" x14ac:dyDescent="0.3">
      <c r="A277" s="50" t="s">
        <v>49</v>
      </c>
      <c r="B277" s="59">
        <f t="shared" si="48"/>
        <v>0.88001562474787187</v>
      </c>
      <c r="C277" s="29">
        <f t="shared" si="48"/>
        <v>0</v>
      </c>
      <c r="D277" s="63">
        <f t="shared" si="48"/>
        <v>1</v>
      </c>
    </row>
    <row r="278" spans="1:11" ht="15" thickBot="1" x14ac:dyDescent="0.35">
      <c r="A278" s="52" t="s">
        <v>53</v>
      </c>
      <c r="B278" s="60">
        <f t="shared" si="48"/>
        <v>0.82415445206915527</v>
      </c>
      <c r="C278" s="30">
        <f t="shared" si="48"/>
        <v>0</v>
      </c>
      <c r="D278" s="64">
        <f t="shared" si="48"/>
        <v>1</v>
      </c>
    </row>
    <row r="279" spans="1:11" ht="15" thickBot="1" x14ac:dyDescent="0.35"/>
    <row r="280" spans="1:11" ht="15" thickBot="1" x14ac:dyDescent="0.35">
      <c r="A280" s="103" t="s">
        <v>30</v>
      </c>
      <c r="B280" s="106" t="s">
        <v>75</v>
      </c>
      <c r="C280" s="106"/>
      <c r="D280" s="106"/>
    </row>
    <row r="281" spans="1:11" x14ac:dyDescent="0.3">
      <c r="A281" s="104"/>
      <c r="B281" s="107" t="s">
        <v>102</v>
      </c>
      <c r="C281" s="107" t="s">
        <v>103</v>
      </c>
      <c r="D281" s="107" t="s">
        <v>104</v>
      </c>
    </row>
    <row r="282" spans="1:11" ht="15" thickBot="1" x14ac:dyDescent="0.35">
      <c r="A282" s="105"/>
      <c r="B282" s="108"/>
      <c r="C282" s="108"/>
      <c r="D282" s="108"/>
    </row>
    <row r="283" spans="1:11" x14ac:dyDescent="0.3">
      <c r="A283" s="49" t="s">
        <v>41</v>
      </c>
      <c r="B283" s="57">
        <f>B255/SQRT($B255^2+$C255^2+$D255^2)</f>
        <v>0.57876672497390758</v>
      </c>
      <c r="C283" s="61">
        <f t="shared" ref="C283:D283" si="49">C255/SQRT($B255^2+$C255^2+$D255^2)</f>
        <v>0.55365974931579043</v>
      </c>
      <c r="D283" s="62">
        <f t="shared" si="49"/>
        <v>0.59874031102854064</v>
      </c>
    </row>
    <row r="284" spans="1:11" x14ac:dyDescent="0.3">
      <c r="A284" s="50" t="s">
        <v>42</v>
      </c>
      <c r="B284" s="59">
        <f t="shared" ref="B284:D292" si="50">B256/SQRT($B256^2+$C256^2+$D256^2)</f>
        <v>0.58742905986040961</v>
      </c>
      <c r="C284" s="29">
        <f t="shared" si="50"/>
        <v>0.54266762946844116</v>
      </c>
      <c r="D284" s="63">
        <f t="shared" si="50"/>
        <v>0.60036567486709147</v>
      </c>
    </row>
    <row r="285" spans="1:11" ht="14.4" customHeight="1" x14ac:dyDescent="0.3">
      <c r="A285" s="50" t="s">
        <v>43</v>
      </c>
      <c r="B285" s="59">
        <f t="shared" si="50"/>
        <v>0.57076323890102265</v>
      </c>
      <c r="C285" s="29">
        <f t="shared" si="50"/>
        <v>0.57781336156478202</v>
      </c>
      <c r="D285" s="63">
        <f t="shared" si="50"/>
        <v>0.58340470028653402</v>
      </c>
      <c r="F285" s="154" t="s">
        <v>121</v>
      </c>
      <c r="G285" s="154"/>
      <c r="H285" s="154"/>
      <c r="I285" s="154"/>
      <c r="J285" s="154"/>
      <c r="K285" s="154"/>
    </row>
    <row r="286" spans="1:11" x14ac:dyDescent="0.3">
      <c r="A286" s="50" t="s">
        <v>44</v>
      </c>
      <c r="B286" s="59">
        <f t="shared" si="50"/>
        <v>0.58417370831409943</v>
      </c>
      <c r="C286" s="29">
        <f t="shared" si="50"/>
        <v>0.54294946502840447</v>
      </c>
      <c r="D286" s="63">
        <f t="shared" si="50"/>
        <v>0.60328016455037126</v>
      </c>
      <c r="F286" s="154"/>
      <c r="G286" s="154"/>
      <c r="H286" s="154"/>
      <c r="I286" s="154"/>
      <c r="J286" s="154"/>
      <c r="K286" s="154"/>
    </row>
    <row r="287" spans="1:11" x14ac:dyDescent="0.3">
      <c r="A287" s="50" t="s">
        <v>45</v>
      </c>
      <c r="B287" s="59">
        <f t="shared" si="50"/>
        <v>0.58120944725735035</v>
      </c>
      <c r="C287" s="29">
        <f t="shared" si="50"/>
        <v>0.56229762024528529</v>
      </c>
      <c r="D287" s="63">
        <f t="shared" si="50"/>
        <v>0.58823206703247166</v>
      </c>
      <c r="F287" s="154"/>
      <c r="G287" s="154"/>
      <c r="H287" s="154"/>
      <c r="I287" s="154"/>
      <c r="J287" s="154"/>
      <c r="K287" s="154"/>
    </row>
    <row r="288" spans="1:11" x14ac:dyDescent="0.3">
      <c r="A288" s="50" t="s">
        <v>46</v>
      </c>
      <c r="B288" s="59">
        <f t="shared" si="50"/>
        <v>0.58632307537428596</v>
      </c>
      <c r="C288" s="29">
        <f t="shared" si="50"/>
        <v>0.58778594523267957</v>
      </c>
      <c r="D288" s="63">
        <f t="shared" si="50"/>
        <v>0.55743424174566514</v>
      </c>
      <c r="F288" s="154"/>
      <c r="G288" s="154"/>
      <c r="H288" s="154"/>
      <c r="I288" s="154"/>
      <c r="J288" s="154"/>
      <c r="K288" s="154"/>
    </row>
    <row r="289" spans="1:10" x14ac:dyDescent="0.3">
      <c r="A289" s="50" t="s">
        <v>47</v>
      </c>
      <c r="B289" s="59">
        <f t="shared" si="50"/>
        <v>0.5845703825698928</v>
      </c>
      <c r="C289" s="29">
        <f t="shared" si="50"/>
        <v>0.5697937752640041</v>
      </c>
      <c r="D289" s="63">
        <f t="shared" si="50"/>
        <v>0.57759200262164523</v>
      </c>
    </row>
    <row r="290" spans="1:10" x14ac:dyDescent="0.3">
      <c r="A290" s="50" t="s">
        <v>48</v>
      </c>
      <c r="B290" s="59">
        <f t="shared" si="50"/>
        <v>0.57417883879268561</v>
      </c>
      <c r="C290" s="29">
        <f t="shared" si="50"/>
        <v>0.5767529578477506</v>
      </c>
      <c r="D290" s="63">
        <f t="shared" si="50"/>
        <v>0.5810978288520392</v>
      </c>
    </row>
    <row r="291" spans="1:10" x14ac:dyDescent="0.3">
      <c r="A291" s="50" t="s">
        <v>49</v>
      </c>
      <c r="B291" s="59">
        <f t="shared" si="50"/>
        <v>0.59066041620993603</v>
      </c>
      <c r="C291" s="29">
        <f t="shared" si="50"/>
        <v>0.54264551042571108</v>
      </c>
      <c r="D291" s="63">
        <f t="shared" si="50"/>
        <v>0.59720693460267549</v>
      </c>
    </row>
    <row r="292" spans="1:10" ht="15" thickBot="1" x14ac:dyDescent="0.35">
      <c r="A292" s="52" t="s">
        <v>53</v>
      </c>
      <c r="B292" s="60">
        <f t="shared" si="50"/>
        <v>0.5873627142856952</v>
      </c>
      <c r="C292" s="30">
        <f t="shared" si="50"/>
        <v>0.54772605241896433</v>
      </c>
      <c r="D292" s="64">
        <f t="shared" si="50"/>
        <v>0.59581978262598734</v>
      </c>
    </row>
    <row r="293" spans="1:10" ht="15" thickBot="1" x14ac:dyDescent="0.35"/>
    <row r="294" spans="1:10" ht="15" thickBot="1" x14ac:dyDescent="0.35">
      <c r="A294" s="103" t="s">
        <v>30</v>
      </c>
      <c r="B294" s="106" t="s">
        <v>75</v>
      </c>
      <c r="C294" s="106"/>
      <c r="D294" s="106"/>
    </row>
    <row r="295" spans="1:10" x14ac:dyDescent="0.3">
      <c r="A295" s="104"/>
      <c r="B295" s="107" t="s">
        <v>102</v>
      </c>
      <c r="C295" s="107" t="s">
        <v>103</v>
      </c>
      <c r="D295" s="107" t="s">
        <v>104</v>
      </c>
    </row>
    <row r="296" spans="1:10" ht="15" thickBot="1" x14ac:dyDescent="0.35">
      <c r="A296" s="105"/>
      <c r="B296" s="108"/>
      <c r="C296" s="108"/>
      <c r="D296" s="108"/>
    </row>
    <row r="297" spans="1:10" x14ac:dyDescent="0.3">
      <c r="A297" s="49" t="s">
        <v>41</v>
      </c>
      <c r="B297" s="57">
        <f>((B269*$G$298+B283*(1-$G$298))/2)</f>
        <v>0.28392561436356945</v>
      </c>
      <c r="C297" s="61">
        <f t="shared" ref="C297:D297" si="51">((C269*$G$298+C283*(1-$G$298))/2)</f>
        <v>0.13841493732894761</v>
      </c>
      <c r="D297" s="62">
        <f t="shared" si="51"/>
        <v>0.39968507775713513</v>
      </c>
    </row>
    <row r="298" spans="1:10" x14ac:dyDescent="0.3">
      <c r="A298" s="50" t="s">
        <v>42</v>
      </c>
      <c r="B298" s="59">
        <f t="shared" ref="B298:D298" si="52">((B270*$G$298+B284*(1-$G$298))/2)</f>
        <v>0.34080417461646245</v>
      </c>
      <c r="C298" s="29">
        <f t="shared" si="52"/>
        <v>0.13566690736711029</v>
      </c>
      <c r="D298" s="63">
        <f t="shared" si="52"/>
        <v>0.4000914187167729</v>
      </c>
      <c r="F298" t="s">
        <v>105</v>
      </c>
      <c r="G298">
        <v>0.5</v>
      </c>
    </row>
    <row r="299" spans="1:10" x14ac:dyDescent="0.3">
      <c r="A299" s="50" t="s">
        <v>43</v>
      </c>
      <c r="B299" s="59">
        <f t="shared" ref="B299:D299" si="53">((B271*$G$298+B285*(1-$G$298))/2)</f>
        <v>0.14269080972525566</v>
      </c>
      <c r="C299" s="29">
        <f t="shared" si="53"/>
        <v>0.28387793792703908</v>
      </c>
      <c r="D299" s="63">
        <f t="shared" si="53"/>
        <v>0.39585117507163348</v>
      </c>
    </row>
    <row r="300" spans="1:10" x14ac:dyDescent="0.3">
      <c r="A300" s="50" t="s">
        <v>44</v>
      </c>
      <c r="B300" s="59">
        <f t="shared" ref="B300:D300" si="54">((B272*$G$298+B286*(1-$G$298))/2)</f>
        <v>0.31686957202768551</v>
      </c>
      <c r="C300" s="29">
        <f t="shared" si="54"/>
        <v>0.13573736625710112</v>
      </c>
      <c r="D300" s="63">
        <f t="shared" si="54"/>
        <v>0.40082004113759284</v>
      </c>
      <c r="F300" s="154" t="s">
        <v>122</v>
      </c>
      <c r="G300" s="154"/>
      <c r="H300" s="154"/>
      <c r="I300" s="154"/>
      <c r="J300" s="154"/>
    </row>
    <row r="301" spans="1:10" x14ac:dyDescent="0.3">
      <c r="A301" s="50" t="s">
        <v>45</v>
      </c>
      <c r="B301" s="59">
        <f t="shared" ref="B301:D301" si="55">((B273*$G$298+B287*(1-$G$298))/2)</f>
        <v>0.32760649160021926</v>
      </c>
      <c r="C301" s="29">
        <f t="shared" si="55"/>
        <v>0.14057440506132132</v>
      </c>
      <c r="D301" s="63">
        <f t="shared" si="55"/>
        <v>0.39705801675811792</v>
      </c>
      <c r="F301" s="154"/>
      <c r="G301" s="154"/>
      <c r="H301" s="154"/>
      <c r="I301" s="154"/>
      <c r="J301" s="154"/>
    </row>
    <row r="302" spans="1:10" x14ac:dyDescent="0.3">
      <c r="A302" s="50" t="s">
        <v>46</v>
      </c>
      <c r="B302" s="59">
        <f t="shared" ref="B302:D302" si="56">((B274*$G$298+B288*(1-$G$298))/2)</f>
        <v>0.38453144631527048</v>
      </c>
      <c r="C302" s="29">
        <f t="shared" si="56"/>
        <v>0.39694648630816987</v>
      </c>
      <c r="D302" s="63">
        <f t="shared" si="56"/>
        <v>0.13935856043641628</v>
      </c>
      <c r="F302" s="154"/>
      <c r="G302" s="154"/>
      <c r="H302" s="154"/>
      <c r="I302" s="154"/>
      <c r="J302" s="154"/>
    </row>
    <row r="303" spans="1:10" x14ac:dyDescent="0.3">
      <c r="A303" s="50" t="s">
        <v>47</v>
      </c>
      <c r="B303" s="59">
        <f t="shared" ref="B303:D303" si="57">((B275*$G$298+B289*(1-$G$298))/2)</f>
        <v>0.39614259564247323</v>
      </c>
      <c r="C303" s="29">
        <f t="shared" si="57"/>
        <v>0.14244844381600102</v>
      </c>
      <c r="D303" s="63">
        <f t="shared" si="57"/>
        <v>0.27633334948432436</v>
      </c>
    </row>
    <row r="304" spans="1:10" x14ac:dyDescent="0.3">
      <c r="A304" s="50" t="s">
        <v>48</v>
      </c>
      <c r="B304" s="59">
        <f t="shared" ref="B304:D304" si="58">((B276*$G$298+B290*(1-$G$298))/2)</f>
        <v>0.1435447096981714</v>
      </c>
      <c r="C304" s="29">
        <f t="shared" si="58"/>
        <v>0.23719744430915068</v>
      </c>
      <c r="D304" s="63">
        <f t="shared" si="58"/>
        <v>0.3952744572130098</v>
      </c>
    </row>
    <row r="305" spans="1:10" x14ac:dyDescent="0.3">
      <c r="A305" s="50" t="s">
        <v>49</v>
      </c>
      <c r="B305" s="59">
        <f t="shared" ref="B305:D305" si="59">((B277*$G$298+B291*(1-$G$298))/2)</f>
        <v>0.36766901023945198</v>
      </c>
      <c r="C305" s="29">
        <f t="shared" si="59"/>
        <v>0.13566137760642777</v>
      </c>
      <c r="D305" s="63">
        <f t="shared" si="59"/>
        <v>0.3993017336506689</v>
      </c>
    </row>
    <row r="306" spans="1:10" ht="15" thickBot="1" x14ac:dyDescent="0.35">
      <c r="A306" s="52" t="s">
        <v>53</v>
      </c>
      <c r="B306" s="60">
        <f t="shared" ref="B306:D306" si="60">((B278*$G$298+B292*(1-$G$298))/2)</f>
        <v>0.35287929158871262</v>
      </c>
      <c r="C306" s="30">
        <f t="shared" si="60"/>
        <v>0.13693151310474108</v>
      </c>
      <c r="D306" s="64">
        <f t="shared" si="60"/>
        <v>0.39895494565649681</v>
      </c>
    </row>
    <row r="308" spans="1:10" ht="15" thickBot="1" x14ac:dyDescent="0.35"/>
    <row r="309" spans="1:10" ht="15" thickBot="1" x14ac:dyDescent="0.35">
      <c r="A309" s="103" t="s">
        <v>30</v>
      </c>
      <c r="B309" s="106" t="s">
        <v>75</v>
      </c>
      <c r="C309" s="106"/>
      <c r="D309" s="106"/>
    </row>
    <row r="310" spans="1:10" x14ac:dyDescent="0.3">
      <c r="A310" s="104"/>
      <c r="B310" s="107" t="s">
        <v>102</v>
      </c>
      <c r="C310" s="107" t="s">
        <v>103</v>
      </c>
      <c r="D310" s="107" t="s">
        <v>104</v>
      </c>
    </row>
    <row r="311" spans="1:10" ht="15" thickBot="1" x14ac:dyDescent="0.35">
      <c r="A311" s="105"/>
      <c r="B311" s="108"/>
      <c r="C311" s="108"/>
      <c r="D311" s="108"/>
    </row>
    <row r="312" spans="1:10" x14ac:dyDescent="0.3">
      <c r="A312" s="49" t="s">
        <v>41</v>
      </c>
      <c r="B312" s="57">
        <f>B297*$E$95</f>
        <v>3.0329944909409639E-2</v>
      </c>
      <c r="C312" s="61">
        <f>C297*$E95</f>
        <v>1.4785976366509291E-2</v>
      </c>
      <c r="D312" s="62">
        <f>D297*$E95</f>
        <v>4.2695782896023375E-2</v>
      </c>
    </row>
    <row r="313" spans="1:10" x14ac:dyDescent="0.3">
      <c r="A313" s="50" t="s">
        <v>42</v>
      </c>
      <c r="B313" s="59">
        <f t="shared" ref="B313:B321" si="61">B298*E96</f>
        <v>3.5085313354629624E-2</v>
      </c>
      <c r="C313" s="29">
        <f>C298*$E96</f>
        <v>1.3966718459905415E-2</v>
      </c>
      <c r="D313" s="63">
        <f t="shared" ref="D313:D321" si="62">D298*$E96</f>
        <v>4.1188852255034068E-2</v>
      </c>
      <c r="G313" s="154" t="s">
        <v>123</v>
      </c>
      <c r="H313" s="154"/>
      <c r="I313" s="154"/>
      <c r="J313" s="154"/>
    </row>
    <row r="314" spans="1:10" x14ac:dyDescent="0.3">
      <c r="A314" s="50" t="s">
        <v>43</v>
      </c>
      <c r="B314" s="59">
        <f t="shared" si="61"/>
        <v>1.349429001079459E-2</v>
      </c>
      <c r="C314" s="29">
        <f>C299*$E97</f>
        <v>2.6846376647730152E-2</v>
      </c>
      <c r="D314" s="63">
        <f t="shared" si="62"/>
        <v>3.7435701485019894E-2</v>
      </c>
      <c r="G314" s="154"/>
      <c r="H314" s="154"/>
      <c r="I314" s="154"/>
      <c r="J314" s="154"/>
    </row>
    <row r="315" spans="1:10" x14ac:dyDescent="0.3">
      <c r="A315" s="50" t="s">
        <v>44</v>
      </c>
      <c r="B315" s="59">
        <f t="shared" si="61"/>
        <v>2.819697486465849E-2</v>
      </c>
      <c r="C315" s="29">
        <f t="shared" ref="C315:C321" si="63">C300*$E98</f>
        <v>1.2078733467699504E-2</v>
      </c>
      <c r="D315" s="63">
        <f t="shared" si="62"/>
        <v>3.5667396376641104E-2</v>
      </c>
      <c r="G315" s="154"/>
      <c r="H315" s="154"/>
      <c r="I315" s="154"/>
      <c r="J315" s="154"/>
    </row>
    <row r="316" spans="1:10" x14ac:dyDescent="0.3">
      <c r="A316" s="50" t="s">
        <v>45</v>
      </c>
      <c r="B316" s="59">
        <f t="shared" si="61"/>
        <v>3.3988149347026521E-2</v>
      </c>
      <c r="C316" s="29">
        <f t="shared" si="63"/>
        <v>1.4584155064375385E-2</v>
      </c>
      <c r="D316" s="63">
        <f t="shared" si="62"/>
        <v>4.1193527964267111E-2</v>
      </c>
      <c r="G316" s="154"/>
      <c r="H316" s="154"/>
      <c r="I316" s="154"/>
      <c r="J316" s="154"/>
    </row>
    <row r="317" spans="1:10" x14ac:dyDescent="0.3">
      <c r="A317" s="50" t="s">
        <v>46</v>
      </c>
      <c r="B317" s="59">
        <f t="shared" si="61"/>
        <v>4.0860537677568642E-2</v>
      </c>
      <c r="C317" s="29">
        <f t="shared" si="63"/>
        <v>4.2179767130086483E-2</v>
      </c>
      <c r="D317" s="63">
        <f t="shared" si="62"/>
        <v>1.4808322606560733E-2</v>
      </c>
    </row>
    <row r="318" spans="1:10" x14ac:dyDescent="0.3">
      <c r="A318" s="50" t="s">
        <v>47</v>
      </c>
      <c r="B318" s="59">
        <f t="shared" si="61"/>
        <v>4.0281829319044164E-2</v>
      </c>
      <c r="C318" s="29">
        <f t="shared" si="63"/>
        <v>1.4484894994070121E-2</v>
      </c>
      <c r="D318" s="63">
        <f t="shared" si="62"/>
        <v>2.8099005109598164E-2</v>
      </c>
    </row>
    <row r="319" spans="1:10" x14ac:dyDescent="0.3">
      <c r="A319" s="50" t="s">
        <v>48</v>
      </c>
      <c r="B319" s="59">
        <f t="shared" si="61"/>
        <v>1.5165115587739727E-2</v>
      </c>
      <c r="C319" s="29">
        <f t="shared" si="63"/>
        <v>2.5059277124377017E-2</v>
      </c>
      <c r="D319" s="63">
        <f t="shared" si="62"/>
        <v>4.1759691772135968E-2</v>
      </c>
    </row>
    <row r="320" spans="1:10" x14ac:dyDescent="0.3">
      <c r="A320" s="50" t="s">
        <v>49</v>
      </c>
      <c r="B320" s="59">
        <f t="shared" si="61"/>
        <v>3.6344864245401357E-2</v>
      </c>
      <c r="C320" s="29">
        <f t="shared" si="63"/>
        <v>1.3410415931542879E-2</v>
      </c>
      <c r="D320" s="63">
        <f t="shared" si="62"/>
        <v>3.9471826284829842E-2</v>
      </c>
    </row>
    <row r="321" spans="1:14" ht="15" thickBot="1" x14ac:dyDescent="0.35">
      <c r="A321" s="52" t="s">
        <v>53</v>
      </c>
      <c r="B321" s="60">
        <f t="shared" si="61"/>
        <v>3.1928355481044925E-2</v>
      </c>
      <c r="C321" s="30">
        <f t="shared" si="63"/>
        <v>1.2389500124198786E-2</v>
      </c>
      <c r="D321" s="64">
        <f t="shared" si="62"/>
        <v>3.6097259401347746E-2</v>
      </c>
    </row>
    <row r="322" spans="1:14" ht="15" customHeight="1" thickBot="1" x14ac:dyDescent="0.35">
      <c r="A322" s="100" t="s">
        <v>69</v>
      </c>
      <c r="B322" s="101">
        <f>SUM(B312:B321)</f>
        <v>0.30567537479731771</v>
      </c>
      <c r="C322" s="101">
        <f t="shared" ref="C322:D322" si="64">SUM(C312:C321)</f>
        <v>0.18978581531049504</v>
      </c>
      <c r="D322" s="102">
        <f t="shared" si="64"/>
        <v>0.35841736615145797</v>
      </c>
      <c r="F322" s="161" t="s">
        <v>124</v>
      </c>
      <c r="G322" s="161"/>
      <c r="H322" s="161"/>
      <c r="I322" s="161"/>
      <c r="J322" s="161"/>
      <c r="K322" s="161"/>
      <c r="L322" s="161"/>
      <c r="M322" s="161"/>
      <c r="N322" s="161"/>
    </row>
  </sheetData>
  <mergeCells count="247">
    <mergeCell ref="S243:V247"/>
    <mergeCell ref="F257:J260"/>
    <mergeCell ref="F269:J272"/>
    <mergeCell ref="F285:K288"/>
    <mergeCell ref="F300:J302"/>
    <mergeCell ref="G313:J316"/>
    <mergeCell ref="F322:N322"/>
    <mergeCell ref="R59:U62"/>
    <mergeCell ref="F83:J85"/>
    <mergeCell ref="G95:L97"/>
    <mergeCell ref="N115:R117"/>
    <mergeCell ref="S151:W156"/>
    <mergeCell ref="I184:K184"/>
    <mergeCell ref="L184:N184"/>
    <mergeCell ref="O184:Q184"/>
    <mergeCell ref="I194:K194"/>
    <mergeCell ref="L159:N159"/>
    <mergeCell ref="O159:Q159"/>
    <mergeCell ref="O179:Q179"/>
    <mergeCell ref="L204:N204"/>
    <mergeCell ref="O204:Q204"/>
    <mergeCell ref="L214:N214"/>
    <mergeCell ref="O214:Q214"/>
    <mergeCell ref="L234:N234"/>
    <mergeCell ref="J7:O7"/>
    <mergeCell ref="U19:AD19"/>
    <mergeCell ref="K29:P29"/>
    <mergeCell ref="P33:T35"/>
    <mergeCell ref="A252:A254"/>
    <mergeCell ref="B253:B254"/>
    <mergeCell ref="C253:C254"/>
    <mergeCell ref="D253:D254"/>
    <mergeCell ref="B252:D252"/>
    <mergeCell ref="A240:A241"/>
    <mergeCell ref="B240:D240"/>
    <mergeCell ref="E240:G240"/>
    <mergeCell ref="H240:J240"/>
    <mergeCell ref="B9:D9"/>
    <mergeCell ref="B10:D10"/>
    <mergeCell ref="K240:M240"/>
    <mergeCell ref="N240:P240"/>
    <mergeCell ref="A245:A246"/>
    <mergeCell ref="B245:D245"/>
    <mergeCell ref="E245:G245"/>
    <mergeCell ref="H245:J245"/>
    <mergeCell ref="K245:M245"/>
    <mergeCell ref="N245:P245"/>
    <mergeCell ref="A114:A116"/>
    <mergeCell ref="C144:E144"/>
    <mergeCell ref="F144:H144"/>
    <mergeCell ref="E68:G68"/>
    <mergeCell ref="H68:J68"/>
    <mergeCell ref="K68:M68"/>
    <mergeCell ref="N68:P68"/>
    <mergeCell ref="A56:A57"/>
    <mergeCell ref="K56:M56"/>
    <mergeCell ref="A111:A113"/>
    <mergeCell ref="A117:A119"/>
    <mergeCell ref="A126:A128"/>
    <mergeCell ref="A129:A131"/>
    <mergeCell ref="A132:A134"/>
    <mergeCell ref="A135:A137"/>
    <mergeCell ref="A139:A140"/>
    <mergeCell ref="A120:A122"/>
    <mergeCell ref="A123:A125"/>
    <mergeCell ref="O139:Q139"/>
    <mergeCell ref="O144:Q144"/>
    <mergeCell ref="B139:B140"/>
    <mergeCell ref="C139:E139"/>
    <mergeCell ref="F139:H139"/>
    <mergeCell ref="I139:K139"/>
    <mergeCell ref="L139:N139"/>
    <mergeCell ref="B11:D11"/>
    <mergeCell ref="B12:D12"/>
    <mergeCell ref="A108:A110"/>
    <mergeCell ref="N56:P56"/>
    <mergeCell ref="A68:A69"/>
    <mergeCell ref="B68:D68"/>
    <mergeCell ref="A43:A44"/>
    <mergeCell ref="A29:A31"/>
    <mergeCell ref="B13:D13"/>
    <mergeCell ref="E11:G11"/>
    <mergeCell ref="E12:G12"/>
    <mergeCell ref="E13:G13"/>
    <mergeCell ref="M47:P48"/>
    <mergeCell ref="Q16:S16"/>
    <mergeCell ref="K15:S15"/>
    <mergeCell ref="A1:A3"/>
    <mergeCell ref="K1:S1"/>
    <mergeCell ref="K2:M2"/>
    <mergeCell ref="N2:P2"/>
    <mergeCell ref="Q2:S2"/>
    <mergeCell ref="A15:A17"/>
    <mergeCell ref="K16:M16"/>
    <mergeCell ref="N16:P16"/>
    <mergeCell ref="B4:D4"/>
    <mergeCell ref="B5:D5"/>
    <mergeCell ref="B6:D6"/>
    <mergeCell ref="B7:D7"/>
    <mergeCell ref="B2:D3"/>
    <mergeCell ref="E2:G3"/>
    <mergeCell ref="E4:G4"/>
    <mergeCell ref="E5:G5"/>
    <mergeCell ref="E6:G6"/>
    <mergeCell ref="E7:G7"/>
    <mergeCell ref="E8:G8"/>
    <mergeCell ref="E9:G9"/>
    <mergeCell ref="E10:G10"/>
    <mergeCell ref="B8:D8"/>
    <mergeCell ref="L149:N149"/>
    <mergeCell ref="O149:Q149"/>
    <mergeCell ref="A151:A158"/>
    <mergeCell ref="B154:B155"/>
    <mergeCell ref="C154:E154"/>
    <mergeCell ref="F154:H154"/>
    <mergeCell ref="I154:K154"/>
    <mergeCell ref="L154:N154"/>
    <mergeCell ref="O154:Q154"/>
    <mergeCell ref="A149:A150"/>
    <mergeCell ref="B149:B150"/>
    <mergeCell ref="C149:E149"/>
    <mergeCell ref="F149:H149"/>
    <mergeCell ref="I149:K149"/>
    <mergeCell ref="A179:A180"/>
    <mergeCell ref="B179:B180"/>
    <mergeCell ref="C179:E179"/>
    <mergeCell ref="F179:H179"/>
    <mergeCell ref="I179:K179"/>
    <mergeCell ref="L179:N179"/>
    <mergeCell ref="A189:A190"/>
    <mergeCell ref="F184:H184"/>
    <mergeCell ref="I144:K144"/>
    <mergeCell ref="L144:N144"/>
    <mergeCell ref="A141:A148"/>
    <mergeCell ref="B144:B145"/>
    <mergeCell ref="A169:A170"/>
    <mergeCell ref="B169:B170"/>
    <mergeCell ref="C169:E169"/>
    <mergeCell ref="F169:H169"/>
    <mergeCell ref="I169:K169"/>
    <mergeCell ref="L169:N169"/>
    <mergeCell ref="A161:A168"/>
    <mergeCell ref="B164:B165"/>
    <mergeCell ref="C164:E164"/>
    <mergeCell ref="F164:H164"/>
    <mergeCell ref="I164:K164"/>
    <mergeCell ref="L164:N164"/>
    <mergeCell ref="B189:B190"/>
    <mergeCell ref="C189:E189"/>
    <mergeCell ref="F189:H189"/>
    <mergeCell ref="I189:K189"/>
    <mergeCell ref="L189:N189"/>
    <mergeCell ref="O189:Q189"/>
    <mergeCell ref="A181:A188"/>
    <mergeCell ref="B184:B185"/>
    <mergeCell ref="C184:E184"/>
    <mergeCell ref="O164:Q164"/>
    <mergeCell ref="A159:A160"/>
    <mergeCell ref="B159:B160"/>
    <mergeCell ref="C159:E159"/>
    <mergeCell ref="F159:H159"/>
    <mergeCell ref="I159:K159"/>
    <mergeCell ref="A171:A178"/>
    <mergeCell ref="B174:B175"/>
    <mergeCell ref="C174:E174"/>
    <mergeCell ref="F174:H174"/>
    <mergeCell ref="I174:K174"/>
    <mergeCell ref="O169:Q169"/>
    <mergeCell ref="L174:N174"/>
    <mergeCell ref="O174:Q174"/>
    <mergeCell ref="L194:N194"/>
    <mergeCell ref="O194:Q194"/>
    <mergeCell ref="A199:A200"/>
    <mergeCell ref="B199:B200"/>
    <mergeCell ref="C199:E199"/>
    <mergeCell ref="F199:H199"/>
    <mergeCell ref="I199:K199"/>
    <mergeCell ref="L199:N199"/>
    <mergeCell ref="O199:Q199"/>
    <mergeCell ref="A191:A198"/>
    <mergeCell ref="B194:B195"/>
    <mergeCell ref="C194:E194"/>
    <mergeCell ref="F194:H194"/>
    <mergeCell ref="A209:A210"/>
    <mergeCell ref="B209:B210"/>
    <mergeCell ref="C209:E209"/>
    <mergeCell ref="F209:H209"/>
    <mergeCell ref="I209:K209"/>
    <mergeCell ref="L209:N209"/>
    <mergeCell ref="O209:Q209"/>
    <mergeCell ref="A201:A208"/>
    <mergeCell ref="B204:B205"/>
    <mergeCell ref="C204:E204"/>
    <mergeCell ref="F204:H204"/>
    <mergeCell ref="I204:K204"/>
    <mergeCell ref="A219:A220"/>
    <mergeCell ref="B219:B220"/>
    <mergeCell ref="C219:E219"/>
    <mergeCell ref="F219:H219"/>
    <mergeCell ref="I219:K219"/>
    <mergeCell ref="L219:N219"/>
    <mergeCell ref="O219:Q219"/>
    <mergeCell ref="A211:A218"/>
    <mergeCell ref="B214:B215"/>
    <mergeCell ref="C214:E214"/>
    <mergeCell ref="F214:H214"/>
    <mergeCell ref="I214:K214"/>
    <mergeCell ref="O234:Q234"/>
    <mergeCell ref="A231:A238"/>
    <mergeCell ref="B234:B235"/>
    <mergeCell ref="C234:E234"/>
    <mergeCell ref="F234:H234"/>
    <mergeCell ref="I234:K234"/>
    <mergeCell ref="L224:N224"/>
    <mergeCell ref="O224:Q224"/>
    <mergeCell ref="A229:A230"/>
    <mergeCell ref="B229:B230"/>
    <mergeCell ref="C229:E229"/>
    <mergeCell ref="F229:H229"/>
    <mergeCell ref="I229:K229"/>
    <mergeCell ref="L229:N229"/>
    <mergeCell ref="O229:Q229"/>
    <mergeCell ref="A221:A228"/>
    <mergeCell ref="B224:B225"/>
    <mergeCell ref="C224:E224"/>
    <mergeCell ref="F224:H224"/>
    <mergeCell ref="I224:K224"/>
    <mergeCell ref="A266:A268"/>
    <mergeCell ref="B266:D266"/>
    <mergeCell ref="B267:B268"/>
    <mergeCell ref="C267:C268"/>
    <mergeCell ref="D267:D268"/>
    <mergeCell ref="A280:A282"/>
    <mergeCell ref="B280:D280"/>
    <mergeCell ref="B281:B282"/>
    <mergeCell ref="C281:C282"/>
    <mergeCell ref="D281:D282"/>
    <mergeCell ref="A294:A296"/>
    <mergeCell ref="B294:D294"/>
    <mergeCell ref="B295:B296"/>
    <mergeCell ref="C295:C296"/>
    <mergeCell ref="D295:D296"/>
    <mergeCell ref="A309:A311"/>
    <mergeCell ref="B309:D309"/>
    <mergeCell ref="B310:B311"/>
    <mergeCell ref="C310:C311"/>
    <mergeCell ref="D310:D311"/>
  </mergeCells>
  <pageMargins left="0.7" right="0.7" top="0.75" bottom="0.75" header="0.3" footer="0.3"/>
  <pageSetup paperSize="9" orientation="landscape" r:id="rId1"/>
  <ignoredErrors>
    <ignoredError sqref="E32:J4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2025-05-23T18:32:20Z</dcterms:created>
  <dcterms:modified xsi:type="dcterms:W3CDTF">2025-12-06T10:07:30Z</dcterms:modified>
</cp:coreProperties>
</file>